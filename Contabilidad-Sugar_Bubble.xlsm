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11.xml" ContentType="application/vnd.openxmlformats-officedocument.spreadsheetml.table+xml"/>
  <Override PartName="/xl/drawings/drawing10.xml" ContentType="application/vnd.openxmlformats-officedocument.drawing+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2.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36DEFFCB-36CF-449D-9584-C1CB0CB23FAB}" xr6:coauthVersionLast="47" xr6:coauthVersionMax="47" xr10:uidLastSave="{00000000-0000-0000-0000-000000000000}"/>
  <bookViews>
    <workbookView xWindow="-120" yWindow="-120" windowWidth="20730" windowHeight="11040" firstSheet="10" activeTab="12"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Consulta Extracto" sheetId="18" r:id="rId9"/>
    <sheet name="Extracto Cta Bancolombia" sheetId="12" r:id="rId10"/>
    <sheet name="hoja_trabajo_conciliacion_banca" sheetId="16" r:id="rId11"/>
    <sheet name="Conciliacion Bancaria" sheetId="17" r:id="rId12"/>
    <sheet name="Instrumentos financieros" sheetId="13"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<sst xmlns="http://schemas.openxmlformats.org/spreadsheetml/2006/main" count="6022" uniqueCount="4080">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</sst>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8">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44"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3">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2">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1" totalsRowDxfId="260"/>
    <tableColumn id="4" xr3:uid="{A8C3DCB1-A1AA-4F29-AB1E-0A2E682C3530}" name="Cantidad" totalsRowFunction="sum" dataDxfId="259" totalsRowDxfId="258"/>
    <tableColumn id="5" xr3:uid="{614B29C1-F3BF-4DF9-904D-94721E98CBEC}" name="Dcto." totalsRowFunction="sum" dataDxfId="257" totalsRowDxfId="256"/>
    <tableColumn id="6" xr3:uid="{5F152225-0439-4330-A9A1-E874E7F9AFC3}" name="IVA %" totalsRowFunction="sum" dataDxfId="255" totalsRowDxfId="254"/>
    <tableColumn id="7" xr3:uid="{3B53B34F-4EAA-4944-9CED-32BC39517FAB}" name="Valor total" totalsRowFunction="sum" dataDxfId="253" totalsRowDxfId="252"/>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1" totalsRowDxfId="250"/>
    <tableColumn id="4" xr3:uid="{334E5B37-F36E-4327-A1A1-871F7172D729}" name="Cantidad" totalsRowFunction="sum" dataDxfId="249" totalsRowDxfId="248"/>
    <tableColumn id="5" xr3:uid="{C8E09F96-E344-4397-A22C-842F27212EB7}" name="% Ganancia"/>
    <tableColumn id="6" xr3:uid="{4785F2DB-38BC-4DAD-B87E-948CB98343E5}" name="Valor total" totalsRowFunction="sum" dataDxfId="247" totalsRowDxfId="246">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5"/>
    <tableColumn id="4" xr3:uid="{566487BE-7A8F-479C-BC98-6CE36583601D}" name="Debe" totalsRowFunction="sum" dataDxfId="244" totalsRowDxfId="243"/>
    <tableColumn id="5" xr3:uid="{0FDDDE24-7D3E-40D9-A7CF-C1ABAD690151}" name="Haber" totalsRowFunction="sum" dataDxfId="242" totalsRowDxfId="2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0" totalsRowDxfId="239"/>
    <tableColumn id="7" xr3:uid="{876CB599-EEB3-45DF-9CFA-4DB44A3B52AC}" name="IVA" totalsRowFunction="sum" dataDxfId="238" totalsRowDxfId="237"/>
    <tableColumn id="8" xr3:uid="{42FB424A-7513-4114-876B-F0B2EDBF4CD2}" name="Valor con IVA" totalsRowFunction="sum" dataDxfId="236" totalsRowDxfId="23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4" totalsRowDxfId="233"/>
    <tableColumn id="3" xr3:uid="{71B39168-8F5B-47CF-9237-6F6FC655C0B9}" name="Valor" totalsRowFunction="sum" dataDxfId="232" totalsRowDxfId="2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0" totalsRowDxfId="229"/>
    <tableColumn id="3" xr3:uid="{0461D468-C8E3-4599-951F-F7946A646CCE}" name="Valor" totalsRowFunction="sum" dataDxfId="228" totalsRowDxfId="2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6" totalsRowDxfId="225"/>
    <tableColumn id="4" xr3:uid="{B45669F8-9524-44A4-A62E-8950B2BA2222}" name="Debe" totalsRowFunction="sum" dataDxfId="224" totalsRowDxfId="223"/>
    <tableColumn id="5" xr3:uid="{D708AA91-103B-44B4-8E9C-257B6509A4BC}" name="Haber" totalsRowFunction="sum" dataDxfId="222" totalsRowDxfId="2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0"/>
    <tableColumn id="5" xr3:uid="{9429A308-5036-4C32-9507-C5B26AB665B6}" name="Debe" totalsRowFunction="sum" dataDxfId="219" totalsRowDxfId="218"/>
    <tableColumn id="6" xr3:uid="{055351D5-5F7F-4D1E-998C-342FCF670354}" name="Haber" totalsRowFunction="sum" dataDxfId="217" totalsRowDxfId="21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5" dataDxfId="214" totalsRowDxfId="213">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2" totalsRowDxfId="211"/>
    <tableColumn id="2" xr3:uid="{D3FF3515-9047-4BBB-869A-D2E11918C23B}" name="Detalle" dataDxfId="210" totalsRowDxfId="209"/>
    <tableColumn id="3" xr3:uid="{8759BD7C-9D88-4606-89D6-DD4F7BB40422}" name="Documento" dataDxfId="208" totalsRowDxfId="207"/>
    <tableColumn id="4" xr3:uid="{C36E1D5A-C1C0-4543-B5D9-9FBB3E24D5F2}" name="Debe" totalsRowFunction="sum" dataDxfId="206" totalsRowDxfId="205"/>
    <tableColumn id="5" xr3:uid="{27E80D36-9F48-4468-8839-F41EFD7A554F}" name="Haber" totalsRowFunction="sum" dataDxfId="204" totalsRowDxfId="203"/>
    <tableColumn id="6" xr3:uid="{0791213B-FED9-40D3-9C22-17D8FA6639DE}" name="Saldo" totalsRowFunction="custom" dataDxfId="202" totalsRowDxfId="201">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00"/>
    <tableColumn id="7" xr3:uid="{1AE08FDB-546F-42C4-A9BC-45B45CC2B4FA}" uniqueName="7" name="Detalle" queryTableFieldId="2" dataDxfId="199"/>
    <tableColumn id="8" xr3:uid="{162ECDE3-CC33-4D85-9E9B-33316B38BE3A}" uniqueName="8" name="Documento" queryTableFieldId="3" dataDxfId="198"/>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197" dataDxfId="196" totalsRowDxfId="195">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4" totalsRowDxfId="193"/>
    <tableColumn id="2" xr3:uid="{054A8930-BAEE-4B5B-B56A-CBCAB37B55C1}" name="Detalle" dataDxfId="192" totalsRowDxfId="191"/>
    <tableColumn id="3" xr3:uid="{83D7B0F5-FE48-412F-AE9E-7CD9CF616640}" name="Documento" dataDxfId="190" totalsRowDxfId="189"/>
    <tableColumn id="4" xr3:uid="{D7CD5589-8EA4-4582-A2F6-06E76B66BAD3}" name="Valor" totalsRowFunction="sum" dataDxfId="188" totalsRowDxfId="187"/>
    <tableColumn id="5" xr3:uid="{6ADA082B-577A-46D0-A3F5-EB19E21A3E9A}" name="Saldo" totalsRowFunction="custom" dataDxfId="186" totalsRowDxfId="185">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84" totalsRowDxfId="18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82" totalsRowDxfId="18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80" totalsRowDxfId="179"/>
    <tableColumn id="2" xr3:uid="{6AEFDE4D-5858-499D-B665-A6E55CDD0F7F}" name="Documento" dataDxfId="178" totalsRowDxfId="177"/>
    <tableColumn id="3" xr3:uid="{9CC3CC01-E374-4785-8298-2387AFF901DF}" name="Valor" totalsRowFunction="sum" dataDxfId="176" totalsRowDxfId="17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4">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73" totalsRowDxfId="172"/>
    <tableColumn id="2" xr3:uid="{3102E91D-43C6-4667-B150-97CFEC2BA120}" name="Documento" dataDxfId="171" totalsRowDxfId="170"/>
    <tableColumn id="3" xr3:uid="{0ADBE507-66D1-4C96-B31A-ADBECDED9694}" name="Valor" totalsRowFunction="sum" dataDxfId="169" totalsRow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67">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66" totalsRowDxfId="165"/>
    <tableColumn id="2" xr3:uid="{0A648ABE-BC4C-4B1E-ADFC-12B28549B905}" name="Documento" dataDxfId="164" totalsRowDxfId="163"/>
    <tableColumn id="3" xr3:uid="{CA039FE4-2EF5-4F40-90C3-B80CADA98B83}" name="Valor" totalsRowFunction="sum" dataDxfId="162" totalsRowDxfId="16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0">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59" totalsRowDxfId="158"/>
    <tableColumn id="2" xr3:uid="{D1C80000-E34C-48FA-BDAE-3D7C10910D33}" name="Documento" dataDxfId="157" totalsRowDxfId="156"/>
    <tableColumn id="3" xr3:uid="{BA986B08-9E76-45FD-B093-F9255E76D4C4}" name="Valor" totalsRowFunction="sum" dataDxfId="155" totalsRow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3">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2" totalsRowDxfId="151"/>
    <tableColumn id="2" xr3:uid="{BE48C6ED-858E-4A4A-B997-30DB01762594}" name="Documento" dataDxfId="150" totalsRowDxfId="149"/>
    <tableColumn id="3" xr3:uid="{A147792C-0F10-4874-87AC-88DA85A964CA}" name="Valor" totalsRowFunction="sum" dataDxfId="148" totalsRowDxfId="14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46">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45" totalsRowDxfId="144"/>
    <tableColumn id="2" xr3:uid="{1DD5A06D-F8B3-422E-9DF5-5F401BA772E0}" name="Documento" dataDxfId="143" totalsRowDxfId="142"/>
    <tableColumn id="3" xr3:uid="{A905D5C3-C712-4BC1-B850-7FAC5FCC9ECC}" name="Valor" totalsRowFunction="sum" dataDxfId="141" totalsRowDxfId="14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39" dataCellStyle="Normal"/>
    <tableColumn id="2" xr3:uid="{BB6AA3CF-2F58-4ED7-B754-9A6CD234B560}" name="Documento" totalsRowDxfId="138" dataCellStyle="Normal"/>
    <tableColumn id="3" xr3:uid="{18F21E44-BC5B-484E-B824-3397BD3C0C5C}" name="Valor" totalsRowFunction="sum" dataDxfId="137" totalsRowDxfId="136" dataCellStyle="Normal"/>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35"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34" totalsRowDxfId="13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2" totalsRowDxfId="13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30" totalsRowDxfId="12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28" totalsRowDxfId="12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26" totalsRowDxfId="1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24" totalsRowDxfId="12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22" totalsRow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20" totalsRowDxfId="11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18" totalsRowDxfId="117"/>
    <tableColumn id="4" xr3:uid="{DAAE6A04-7E86-4107-A73E-A49084C37A77}" name="Haber" totalsRowFunction="sum" dataDxfId="116" totalsRow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14" totalsRowDxfId="113"/>
    <tableColumn id="4" xr3:uid="{243B575A-4E5E-49F1-B633-301542AB5732}" name="Haber" totalsRowFunction="sum" dataDxfId="112" totalsRowDxfId="11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10" totalsRowDxfId="109"/>
    <tableColumn id="4" xr3:uid="{9C5E7894-3679-4E30-B50C-35BA7674C168}" name="Haber" totalsRowFunction="sum" dataDxfId="108" totalsRowDxfId="10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06" totalsRowDxfId="105"/>
    <tableColumn id="4" xr3:uid="{14CFE248-F059-4F52-91F7-965B105085AF}" name="Haber" totalsRowFunction="sum" dataDxfId="104" totalsRowDxfId="10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02" totalsRowDxfId="101"/>
    <tableColumn id="4" xr3:uid="{4B130E2A-F81A-4B12-841F-384CD4E4E208}" name="Haber" totalsRowFunction="sum" dataDxfId="100" totalsRowDxfId="9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98" totalsRowDxfId="97"/>
    <tableColumn id="4" xr3:uid="{ED2E782F-97BB-478A-B192-D6C97AFE2049}" name="Haber" totalsRowFunction="sum" dataDxfId="96" totalsRowDxfId="9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94" totalsRowDxfId="93">
      <calculatedColumnFormula>E127+E128</calculatedColumnFormula>
    </tableColumn>
    <tableColumn id="4" xr3:uid="{2D241872-0B21-4220-BB55-8FA9CF3BDEBC}" name="Haber" totalsRowFunction="sum" dataDxfId="92" totalsRowDxfId="9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90" totalsRowDxfId="89"/>
    <tableColumn id="3" xr3:uid="{C8DA64B3-5A04-483E-B3FF-526DA72EAF4B}" name="Interes" totalsRowFunction="sum" dataDxfId="88" totalsRowDxfId="87"/>
    <tableColumn id="4" xr3:uid="{6D8EBC55-606C-4284-AA47-2B69DB2011FF}" name="Cuota" totalsRowFunction="sum" dataDxfId="86" totalsRowDxfId="85"/>
    <tableColumn id="5" xr3:uid="{58AC5A18-A329-4A3B-8EE4-4A12D7577EDA}" name="Saldo" totalsRowFunction="sum" totalsRowDxfId="8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83" totalsRowDxfId="82"/>
    <tableColumn id="4" xr3:uid="{4677B9FA-A42C-414A-8717-B780F3E27FA4}" name="Haber" totalsRowFunction="sum" dataDxfId="81" totalsRowDxfId="8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79" totalsRowDxfId="78"/>
    <tableColumn id="4" xr3:uid="{89FE12DA-22B1-45E4-94D6-3A6C8991A523}" name="Haber" totalsRowFunction="sum" dataDxfId="77" totalsRowDxfId="7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75" totalsRowDxfId="74"/>
    <tableColumn id="4" xr3:uid="{412DFE33-BC60-49EE-8850-5497528DFF88}" name="Haber" totalsRowFunction="sum" dataDxfId="73" totalsRowDxfId="7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71" totalsRowDxfId="70"/>
    <tableColumn id="4" xr3:uid="{F75BD319-D3E6-4DF6-894C-F4497FF0B20C}" name="Haber" totalsRowFunction="sum" dataDxfId="69" totalsRowDxfId="6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67" totalsRowDxfId="66"/>
    <tableColumn id="4" xr3:uid="{FE11E439-C1D8-416C-AAC7-B0ECD68C978C}" name="Haber" totalsRowFunction="sum" dataDxfId="65" totalsRowDxfId="6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63" totalsRowDxfId="62"/>
    <tableColumn id="4" xr3:uid="{37160474-1F6C-4D02-91D8-18CBB9047285}" name="Haber" totalsRowFunction="sum" dataDxfId="61" totalsRowDxfId="6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59" totalsRowDxfId="58"/>
    <tableColumn id="4" xr3:uid="{5A2650BB-019B-4084-850D-DD5AFE3BE50E}" name="Haber" totalsRowFunction="sum" dataDxfId="57" totalsRowDxfId="5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55" totalsRowDxfId="5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53" totalsRowDxfId="52"/>
    <tableColumn id="3" xr3:uid="{FF418158-48A0-43C9-B333-E877554673EC}" name="Interes" totalsRowFunction="sum" dataDxfId="51" totalsRowDxfId="50"/>
    <tableColumn id="4" xr3:uid="{3384BC44-21A8-4BD8-9235-D612F8E58F5D}" name="Cuota" totalsRowFunction="sum" dataDxfId="49" totalsRowDxfId="48"/>
    <tableColumn id="5" xr3:uid="{D47F5177-F0FC-4100-851B-893D901D5AC7}" name="Saldo" totalsRowFunction="count" dataDxfId="4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46" totalsRowDxfId="45"/>
    <tableColumn id="4" xr3:uid="{E1D0EE40-D208-42A4-A3C6-CBF48856703D}" name="Haber" totalsRowFunction="sum" dataDxfId="44" totalsRowDxfId="4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42" totalsRowDxfId="41"/>
    <tableColumn id="4" xr3:uid="{1BBE9969-3F6D-4468-B5ED-EE6C44EE6216}" name="Haber" totalsRowFunction="sum" dataDxfId="40" totalsRowDxfId="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38" totalsRowDxfId="37"/>
    <tableColumn id="4" xr3:uid="{1CE844E5-37E1-4E88-958F-F8317F23B841}" name="Haber" totalsRowFunction="sum" dataDxfId="36" totalsRowDxfId="3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34" totalsRowDxfId="33"/>
    <tableColumn id="4" xr3:uid="{475B5169-A884-44F4-88DF-29BB8346B501}" name="Haber" totalsRowFunction="sum" dataDxfId="32" totalsRowDxfId="31"/>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30" totalsRowDxfId="29"/>
    <tableColumn id="4" xr3:uid="{A06346F3-32B7-45B6-940E-825880D575AC}" name="Haber" totalsRowFunction="sum" dataDxfId="28" totalsRowDxfId="2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18" totalsRowDxfId="19"/>
    <tableColumn id="4" xr3:uid="{3B1B6FAD-8788-4BFC-91C7-9C5104CFA460}" name="Haber" totalsRowFunction="sum" dataDxfId="17" totalsRowDxfId="1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14" totalsRowDxfId="15"/>
    <tableColumn id="4" xr3:uid="{10A5FECF-918D-44D3-A251-232FAAB294D0}" name="Haber" totalsRowFunction="sum" dataDxfId="13" totalsRowDxfId="12"/>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10" totalsRowDxfId="11"/>
    <tableColumn id="4" xr3:uid="{3A77BED6-6AD7-4A18-AEA4-DC6004FAEAA0}" name="Haber" totalsRowFunction="sum" dataDxfId="9" totalsRowDxfId="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6" totalsRowDxfId="7"/>
    <tableColumn id="4" xr3:uid="{DE6B35A3-0EF1-499D-AC60-9B136AB3CAC4}" name="Haber" totalsRowFunction="sum" dataDxfId="5" totalsRowDxfId="4"/>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2" totalsRowDxfId="3"/>
    <tableColumn id="4" xr3:uid="{91EF7913-698E-4DCD-BECE-A14669A9855E}" name="Haber" totalsRowFunction="sum" dataDxfId="1" totalsRowDxfId="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26" dataDxfId="24" headerRowBorderDxfId="25" tableBorderDxfId="23" totalsRowBorderDxfId="22" headerRowCellStyle="Normal_Hoja1" dataCellStyle="Normal_Hoja1">
  <autoFilter ref="A1:B2473" xr:uid="{84F4EBC0-8A41-414B-83A3-EED00469B752}"/>
  <tableColumns count="2">
    <tableColumn id="1" xr3:uid="{37DE6704-8DB2-47A7-9BCD-1A097FAFA87B}" name="Codigo" dataDxfId="21" dataCellStyle="Normal_Hoja1"/>
    <tableColumn id="2" xr3:uid="{898CFDA3-DCFE-4321-A705-0E574E55217B}" name="Nombre" dataDxfId="20"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drawing" Target="../drawings/drawing11.xml"/><Relationship Id="rId16" Type="http://schemas.openxmlformats.org/officeDocument/2006/relationships/table" Target="../tables/table26.xml"/><Relationship Id="rId1" Type="http://schemas.openxmlformats.org/officeDocument/2006/relationships/printerSettings" Target="../printerSettings/printerSettings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 Type="http://schemas.openxmlformats.org/officeDocument/2006/relationships/table" Target="../tables/table30.xml"/><Relationship Id="rId21" Type="http://schemas.openxmlformats.org/officeDocument/2006/relationships/table" Target="../tables/table48.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2" Type="http://schemas.openxmlformats.org/officeDocument/2006/relationships/drawing" Target="../drawings/drawing12.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8" t="s">
        <v>3787</v>
      </c>
      <c r="D1" s="68"/>
      <c r="E1" s="68"/>
      <c r="F1" s="68"/>
      <c r="G1" s="68"/>
      <c r="H1" s="68"/>
      <c r="I1" s="68"/>
    </row>
    <row r="2" spans="1:9" ht="20.25" x14ac:dyDescent="0.3">
      <c r="C2" s="69" t="s">
        <v>3726</v>
      </c>
      <c r="D2" s="69"/>
      <c r="E2" s="70" t="s">
        <v>3732</v>
      </c>
      <c r="F2" s="71"/>
      <c r="G2" s="71"/>
      <c r="H2" s="71"/>
      <c r="I2" s="71"/>
    </row>
    <row r="3" spans="1:9" ht="20.25" x14ac:dyDescent="0.3">
      <c r="C3" s="69" t="s">
        <v>3728</v>
      </c>
      <c r="D3" s="69"/>
      <c r="E3" s="72">
        <v>900235498</v>
      </c>
      <c r="F3" s="73"/>
      <c r="G3" s="73"/>
      <c r="H3" s="73"/>
      <c r="I3" s="73"/>
    </row>
    <row r="4" spans="1:9" ht="20.25" x14ac:dyDescent="0.3">
      <c r="C4" s="69" t="s">
        <v>3729</v>
      </c>
      <c r="D4" s="69"/>
      <c r="E4" s="72" t="s">
        <v>3734</v>
      </c>
      <c r="F4" s="73"/>
      <c r="G4" s="73"/>
      <c r="H4" s="73"/>
      <c r="I4" s="73"/>
    </row>
    <row r="5" spans="1:9" ht="20.25" x14ac:dyDescent="0.3">
      <c r="C5" s="69" t="s">
        <v>3730</v>
      </c>
      <c r="D5" s="69"/>
      <c r="E5" s="72" t="s">
        <v>3733</v>
      </c>
      <c r="F5" s="73"/>
      <c r="G5" s="73"/>
      <c r="H5" s="73"/>
      <c r="I5" s="73"/>
    </row>
    <row r="6" spans="1:9" ht="20.25" x14ac:dyDescent="0.3">
      <c r="C6" s="69" t="s">
        <v>3788</v>
      </c>
      <c r="D6" s="69"/>
      <c r="E6" s="72" t="s">
        <v>3735</v>
      </c>
      <c r="F6" s="73"/>
      <c r="G6" s="73"/>
      <c r="H6" s="73"/>
      <c r="I6" s="73"/>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5" t="s">
        <v>3787</v>
      </c>
      <c r="D1" s="75"/>
      <c r="E1" s="75"/>
      <c r="F1" s="75"/>
      <c r="G1" s="75"/>
      <c r="H1" s="75"/>
      <c r="I1" s="75"/>
    </row>
    <row r="2" spans="3:9" ht="20.25" x14ac:dyDescent="0.3">
      <c r="C2" s="74" t="s">
        <v>3726</v>
      </c>
      <c r="D2" s="74"/>
      <c r="E2" s="70" t="s">
        <v>3732</v>
      </c>
      <c r="F2" s="71"/>
      <c r="G2" s="71"/>
      <c r="H2" s="71"/>
      <c r="I2" s="71"/>
    </row>
    <row r="3" spans="3:9" ht="20.25" x14ac:dyDescent="0.3">
      <c r="C3" s="74" t="s">
        <v>3728</v>
      </c>
      <c r="D3" s="74"/>
      <c r="E3" s="72">
        <v>900235498</v>
      </c>
      <c r="F3" s="73"/>
      <c r="G3" s="73"/>
      <c r="H3" s="73"/>
      <c r="I3" s="73"/>
    </row>
    <row r="4" spans="3:9" ht="20.25" x14ac:dyDescent="0.3">
      <c r="C4" s="74" t="s">
        <v>3729</v>
      </c>
      <c r="D4" s="74"/>
      <c r="E4" s="72" t="s">
        <v>3734</v>
      </c>
      <c r="F4" s="73"/>
      <c r="G4" s="73"/>
      <c r="H4" s="73"/>
      <c r="I4" s="73"/>
    </row>
    <row r="5" spans="3:9" ht="20.25" x14ac:dyDescent="0.3">
      <c r="C5" s="74" t="s">
        <v>3730</v>
      </c>
      <c r="D5" s="74"/>
      <c r="E5" s="72" t="s">
        <v>3733</v>
      </c>
      <c r="F5" s="73"/>
      <c r="G5" s="73"/>
      <c r="H5" s="73"/>
      <c r="I5" s="73"/>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6" t="s">
        <v>3727</v>
      </c>
      <c r="C2" s="76"/>
      <c r="D2" s="76"/>
      <c r="E2" s="76"/>
      <c r="F2" s="76"/>
    </row>
    <row r="3" spans="2:6" ht="20.25" x14ac:dyDescent="0.3">
      <c r="B3" s="77" t="s">
        <v>3726</v>
      </c>
      <c r="C3" s="77"/>
      <c r="D3" s="73" t="s">
        <v>3732</v>
      </c>
      <c r="E3" s="73"/>
      <c r="F3" s="73"/>
    </row>
    <row r="4" spans="2:6" ht="20.25" x14ac:dyDescent="0.3">
      <c r="B4" s="77" t="s">
        <v>3728</v>
      </c>
      <c r="C4" s="77"/>
      <c r="D4" s="73">
        <v>900235498</v>
      </c>
      <c r="E4" s="73"/>
      <c r="F4" s="73"/>
    </row>
    <row r="5" spans="2:6" ht="20.25" x14ac:dyDescent="0.3">
      <c r="B5" s="77" t="s">
        <v>3729</v>
      </c>
      <c r="C5" s="77"/>
      <c r="D5" s="73" t="s">
        <v>3734</v>
      </c>
      <c r="E5" s="73"/>
      <c r="F5" s="73"/>
    </row>
    <row r="6" spans="2:6" ht="20.25" x14ac:dyDescent="0.3">
      <c r="B6" s="77" t="s">
        <v>3730</v>
      </c>
      <c r="C6" s="77"/>
      <c r="D6" s="73" t="s">
        <v>3733</v>
      </c>
      <c r="E6" s="73"/>
      <c r="F6" s="73"/>
    </row>
    <row r="7" spans="2:6" ht="20.25" x14ac:dyDescent="0.3">
      <c r="B7" s="77" t="s">
        <v>3731</v>
      </c>
      <c r="C7" s="77"/>
      <c r="D7" s="73" t="s">
        <v>3735</v>
      </c>
      <c r="E7" s="73"/>
      <c r="F7" s="73"/>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27"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5" t="s">
        <v>3784</v>
      </c>
      <c r="C2" s="75"/>
      <c r="D2" s="75"/>
      <c r="E2" s="75"/>
      <c r="F2" s="75"/>
      <c r="G2" s="75"/>
      <c r="H2" s="75"/>
      <c r="I2" s="75"/>
    </row>
    <row r="3" spans="2:9" ht="20.25" x14ac:dyDescent="0.3">
      <c r="B3" s="74" t="s">
        <v>3726</v>
      </c>
      <c r="C3" s="74"/>
      <c r="D3" s="79" t="s">
        <v>3732</v>
      </c>
      <c r="E3" s="79"/>
      <c r="F3" s="79"/>
      <c r="G3" s="79"/>
      <c r="H3" s="79"/>
      <c r="I3" s="79"/>
    </row>
    <row r="4" spans="2:9" ht="20.25" x14ac:dyDescent="0.3">
      <c r="B4" s="74" t="s">
        <v>3728</v>
      </c>
      <c r="C4" s="74"/>
      <c r="D4" s="79">
        <v>900235498</v>
      </c>
      <c r="E4" s="79"/>
      <c r="F4" s="79"/>
      <c r="G4" s="79"/>
      <c r="H4" s="79"/>
      <c r="I4" s="79"/>
    </row>
    <row r="5" spans="2:9" ht="20.25" x14ac:dyDescent="0.3">
      <c r="B5" s="74" t="s">
        <v>3729</v>
      </c>
      <c r="C5" s="74"/>
      <c r="D5" s="79" t="s">
        <v>3734</v>
      </c>
      <c r="E5" s="79"/>
      <c r="F5" s="79"/>
      <c r="G5" s="79"/>
      <c r="H5" s="79"/>
      <c r="I5" s="79"/>
    </row>
    <row r="6" spans="2:9" ht="20.25" x14ac:dyDescent="0.3">
      <c r="B6" s="74" t="s">
        <v>3730</v>
      </c>
      <c r="C6" s="74"/>
      <c r="D6" s="79" t="s">
        <v>3733</v>
      </c>
      <c r="E6" s="79"/>
      <c r="F6" s="79"/>
      <c r="G6" s="79"/>
      <c r="H6" s="79"/>
      <c r="I6" s="79"/>
    </row>
    <row r="7" spans="2:9" ht="20.25" x14ac:dyDescent="0.3">
      <c r="B7" s="74" t="s">
        <v>3731</v>
      </c>
      <c r="C7" s="74"/>
      <c r="D7" s="79" t="s">
        <v>3735</v>
      </c>
      <c r="E7" s="79"/>
      <c r="F7" s="79"/>
      <c r="G7" s="79"/>
      <c r="H7" s="79"/>
      <c r="I7" s="79"/>
    </row>
    <row r="9" spans="2:9" ht="20.25" x14ac:dyDescent="0.3">
      <c r="F9" s="74" t="s">
        <v>3774</v>
      </c>
      <c r="G9" s="74"/>
      <c r="H9" s="78">
        <v>1700000</v>
      </c>
      <c r="I9" s="78"/>
    </row>
    <row r="10" spans="2:9" ht="20.25" x14ac:dyDescent="0.3">
      <c r="F10" s="74" t="s">
        <v>3775</v>
      </c>
      <c r="G10" s="74"/>
      <c r="H10" s="78">
        <v>1529200</v>
      </c>
      <c r="I10" s="78"/>
    </row>
    <row r="11" spans="2:9" ht="20.25" x14ac:dyDescent="0.3">
      <c r="F11" s="74" t="s">
        <v>3776</v>
      </c>
      <c r="G11" s="74"/>
      <c r="H11" s="78">
        <v>1529200</v>
      </c>
      <c r="I11" s="78"/>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4" t="s">
        <v>3781</v>
      </c>
      <c r="C34" s="74"/>
      <c r="D34" s="74"/>
      <c r="F34" s="74" t="s">
        <v>3782</v>
      </c>
      <c r="G34" s="74"/>
      <c r="H34" s="74"/>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4" t="s">
        <v>3781</v>
      </c>
      <c r="C44" s="74"/>
      <c r="D44" s="74"/>
      <c r="E44" s="6">
        <v>143000</v>
      </c>
      <c r="F44" s="7"/>
    </row>
    <row r="45" spans="2:8" ht="20.25" x14ac:dyDescent="0.3">
      <c r="B45" s="74" t="s">
        <v>3782</v>
      </c>
      <c r="C45" s="74"/>
      <c r="D45" s="74"/>
      <c r="E45" s="6">
        <v>27800</v>
      </c>
      <c r="F45" s="7"/>
    </row>
    <row r="46" spans="2:8" ht="20.25" x14ac:dyDescent="0.3">
      <c r="B46" s="74" t="s">
        <v>3783</v>
      </c>
      <c r="C46" s="74"/>
      <c r="D46" s="74"/>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7"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5" t="s">
        <v>3785</v>
      </c>
      <c r="C1" s="75"/>
      <c r="D1" s="75"/>
      <c r="E1" s="75"/>
      <c r="F1" s="75"/>
      <c r="G1" s="8"/>
      <c r="H1" s="8"/>
      <c r="I1" s="8"/>
    </row>
    <row r="2" spans="2:9" ht="20.25" x14ac:dyDescent="0.3">
      <c r="B2" s="74" t="s">
        <v>3726</v>
      </c>
      <c r="C2" s="74"/>
      <c r="D2" s="79" t="s">
        <v>3732</v>
      </c>
      <c r="E2" s="79"/>
      <c r="F2" s="79"/>
      <c r="G2" s="9"/>
      <c r="H2" s="9"/>
      <c r="I2" s="9"/>
    </row>
    <row r="3" spans="2:9" ht="20.25" x14ac:dyDescent="0.3">
      <c r="B3" s="74" t="s">
        <v>3728</v>
      </c>
      <c r="C3" s="74"/>
      <c r="D3" s="79">
        <v>900235498</v>
      </c>
      <c r="E3" s="79"/>
      <c r="F3" s="79"/>
      <c r="G3" s="9"/>
      <c r="H3" s="9"/>
      <c r="I3" s="9"/>
    </row>
    <row r="4" spans="2:9" ht="20.25" x14ac:dyDescent="0.3">
      <c r="B4" s="74" t="s">
        <v>3729</v>
      </c>
      <c r="C4" s="74"/>
      <c r="D4" s="79" t="s">
        <v>3734</v>
      </c>
      <c r="E4" s="79"/>
      <c r="F4" s="79"/>
      <c r="G4" s="9"/>
      <c r="H4" s="9"/>
      <c r="I4" s="9"/>
    </row>
    <row r="5" spans="2:9" ht="20.25" x14ac:dyDescent="0.3">
      <c r="B5" s="74" t="s">
        <v>3730</v>
      </c>
      <c r="C5" s="74"/>
      <c r="D5" s="79" t="s">
        <v>3733</v>
      </c>
      <c r="E5" s="79"/>
      <c r="F5" s="79"/>
      <c r="G5" s="9"/>
      <c r="H5" s="9"/>
      <c r="I5" s="9"/>
    </row>
    <row r="6" spans="2:9" ht="20.25" x14ac:dyDescent="0.3">
      <c r="B6" s="74" t="s">
        <v>3731</v>
      </c>
      <c r="C6" s="74"/>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5" t="s">
        <v>3787</v>
      </c>
      <c r="D2" s="75"/>
      <c r="E2" s="75"/>
      <c r="F2" s="75"/>
      <c r="G2" s="75"/>
      <c r="H2" s="75"/>
      <c r="I2" s="75"/>
    </row>
    <row r="3" spans="3:9" ht="20.25" x14ac:dyDescent="0.3">
      <c r="C3" s="74" t="s">
        <v>3726</v>
      </c>
      <c r="D3" s="74"/>
      <c r="E3" s="70" t="s">
        <v>3732</v>
      </c>
      <c r="F3" s="71"/>
      <c r="G3" s="71"/>
      <c r="H3" s="71"/>
      <c r="I3" s="71"/>
    </row>
    <row r="4" spans="3:9" ht="20.25" x14ac:dyDescent="0.3">
      <c r="C4" s="74" t="s">
        <v>3728</v>
      </c>
      <c r="D4" s="74"/>
      <c r="E4" s="72">
        <v>900235498</v>
      </c>
      <c r="F4" s="73"/>
      <c r="G4" s="73"/>
      <c r="H4" s="73"/>
      <c r="I4" s="73"/>
    </row>
    <row r="5" spans="3:9" ht="20.25" x14ac:dyDescent="0.3">
      <c r="C5" s="74" t="s">
        <v>3729</v>
      </c>
      <c r="D5" s="74"/>
      <c r="E5" s="72" t="s">
        <v>3734</v>
      </c>
      <c r="F5" s="73"/>
      <c r="G5" s="73"/>
      <c r="H5" s="73"/>
      <c r="I5" s="73"/>
    </row>
    <row r="6" spans="3:9" ht="20.25" x14ac:dyDescent="0.3">
      <c r="C6" s="74" t="s">
        <v>3730</v>
      </c>
      <c r="D6" s="74"/>
      <c r="E6" s="72" t="s">
        <v>3733</v>
      </c>
      <c r="F6" s="73"/>
      <c r="G6" s="73"/>
      <c r="H6" s="73"/>
      <c r="I6" s="73"/>
    </row>
    <row r="7" spans="3:9" ht="20.25" x14ac:dyDescent="0.3">
      <c r="C7" s="74" t="s">
        <v>3788</v>
      </c>
      <c r="D7" s="74"/>
      <c r="E7" s="72" t="s">
        <v>3735</v>
      </c>
      <c r="F7" s="73"/>
      <c r="G7" s="73"/>
      <c r="H7" s="73"/>
      <c r="I7" s="73"/>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8" t="s">
        <v>3822</v>
      </c>
      <c r="D1" s="88"/>
      <c r="E1" s="88"/>
      <c r="F1" s="88"/>
      <c r="G1" s="88"/>
    </row>
    <row r="2" spans="3:10" ht="20.25" x14ac:dyDescent="0.3">
      <c r="C2" s="80" t="s">
        <v>3726</v>
      </c>
      <c r="D2" s="81"/>
      <c r="E2" s="85" t="s">
        <v>3732</v>
      </c>
      <c r="F2" s="86"/>
      <c r="G2" s="87"/>
    </row>
    <row r="3" spans="3:10" ht="20.25" x14ac:dyDescent="0.3">
      <c r="C3" s="80" t="s">
        <v>3728</v>
      </c>
      <c r="D3" s="81"/>
      <c r="E3" s="85">
        <v>900235498</v>
      </c>
      <c r="F3" s="86"/>
      <c r="G3" s="87"/>
    </row>
    <row r="4" spans="3:10" ht="20.25" x14ac:dyDescent="0.3">
      <c r="C4" s="80" t="s">
        <v>3730</v>
      </c>
      <c r="D4" s="81"/>
      <c r="E4" s="85" t="s">
        <v>3733</v>
      </c>
      <c r="F4" s="86"/>
      <c r="G4" s="87"/>
      <c r="J4" s="4"/>
    </row>
    <row r="5" spans="3:10" ht="20.25" x14ac:dyDescent="0.3">
      <c r="C5" s="80" t="s">
        <v>3823</v>
      </c>
      <c r="D5" s="81"/>
      <c r="E5" s="85" t="s">
        <v>3824</v>
      </c>
      <c r="F5" s="86"/>
      <c r="G5" s="87"/>
    </row>
    <row r="6" spans="3:10" ht="20.25" x14ac:dyDescent="0.3">
      <c r="C6" s="80" t="s">
        <v>3825</v>
      </c>
      <c r="D6" s="81"/>
      <c r="E6" s="85" t="s">
        <v>3826</v>
      </c>
      <c r="F6" s="86"/>
      <c r="G6" s="87"/>
      <c r="J6" s="4"/>
    </row>
    <row r="7" spans="3:10" ht="20.25" x14ac:dyDescent="0.3">
      <c r="C7" s="80" t="s">
        <v>3827</v>
      </c>
      <c r="D7" s="81"/>
      <c r="E7" s="82">
        <v>10000000</v>
      </c>
      <c r="F7" s="83"/>
      <c r="G7" s="84"/>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0" t="s">
        <v>3726</v>
      </c>
      <c r="C7" s="81"/>
      <c r="D7" s="79" t="s">
        <v>3732</v>
      </c>
      <c r="E7" s="79"/>
      <c r="F7" s="79"/>
    </row>
    <row r="8" spans="2:9" ht="20.25" x14ac:dyDescent="0.3">
      <c r="B8" s="89" t="s">
        <v>3728</v>
      </c>
      <c r="C8" s="89"/>
      <c r="D8" s="79">
        <v>900235498</v>
      </c>
      <c r="E8" s="79"/>
      <c r="F8" s="79"/>
    </row>
    <row r="9" spans="2:9" ht="20.25" x14ac:dyDescent="0.3">
      <c r="B9" s="89" t="s">
        <v>3730</v>
      </c>
      <c r="C9" s="89"/>
      <c r="D9" s="79" t="s">
        <v>3733</v>
      </c>
      <c r="E9" s="79"/>
      <c r="F9" s="79"/>
    </row>
    <row r="10" spans="2:9" ht="20.25" x14ac:dyDescent="0.3">
      <c r="B10" s="89" t="s">
        <v>3823</v>
      </c>
      <c r="C10" s="89"/>
      <c r="D10" s="79" t="s">
        <v>3824</v>
      </c>
      <c r="E10" s="79"/>
      <c r="F10" s="79"/>
    </row>
    <row r="11" spans="2:9" ht="20.25" x14ac:dyDescent="0.3">
      <c r="B11" s="25" t="s">
        <v>3836</v>
      </c>
      <c r="C11" s="26"/>
      <c r="D11" s="25" t="s">
        <v>3837</v>
      </c>
    </row>
    <row r="13" spans="2:9" ht="18.75" x14ac:dyDescent="0.25">
      <c r="B13" s="90" t="s">
        <v>3838</v>
      </c>
      <c r="C13" s="91"/>
      <c r="D13" s="91"/>
      <c r="E13" s="92"/>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17"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8" t="s">
        <v>3822</v>
      </c>
      <c r="D2" s="88"/>
      <c r="E2" s="88"/>
      <c r="F2" s="88"/>
      <c r="G2" s="88"/>
    </row>
    <row r="3" spans="2:7" ht="20.25" x14ac:dyDescent="0.3">
      <c r="C3" s="80" t="s">
        <v>3726</v>
      </c>
      <c r="D3" s="81"/>
      <c r="E3" s="85" t="s">
        <v>3732</v>
      </c>
      <c r="F3" s="86"/>
      <c r="G3" s="87"/>
    </row>
    <row r="4" spans="2:7" ht="20.25" x14ac:dyDescent="0.3">
      <c r="C4" s="80" t="s">
        <v>3728</v>
      </c>
      <c r="D4" s="81"/>
      <c r="E4" s="85">
        <v>900235498</v>
      </c>
      <c r="F4" s="86"/>
      <c r="G4" s="87"/>
    </row>
    <row r="5" spans="2:7" ht="20.25" x14ac:dyDescent="0.3">
      <c r="C5" s="80" t="s">
        <v>3730</v>
      </c>
      <c r="D5" s="81"/>
      <c r="E5" s="85" t="s">
        <v>3733</v>
      </c>
      <c r="F5" s="86"/>
      <c r="G5" s="87"/>
    </row>
    <row r="6" spans="2:7" ht="20.25" x14ac:dyDescent="0.3">
      <c r="C6" s="80" t="s">
        <v>3823</v>
      </c>
      <c r="D6" s="81"/>
      <c r="E6" s="85" t="s">
        <v>3824</v>
      </c>
      <c r="F6" s="86"/>
      <c r="G6" s="87"/>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D15" zoomScale="92" workbookViewId="0">
      <selection activeCell="F41" sqref="F41"/>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8" t="s">
        <v>3822</v>
      </c>
      <c r="D1" s="88"/>
      <c r="E1" s="88"/>
      <c r="F1" s="88"/>
      <c r="G1" s="88"/>
    </row>
    <row r="2" spans="3:19" ht="20.25" x14ac:dyDescent="0.3">
      <c r="C2" s="80" t="s">
        <v>3726</v>
      </c>
      <c r="D2" s="81"/>
      <c r="E2" s="85" t="s">
        <v>3732</v>
      </c>
      <c r="F2" s="86"/>
      <c r="G2" s="87"/>
    </row>
    <row r="3" spans="3:19" ht="20.25" x14ac:dyDescent="0.3">
      <c r="C3" s="80" t="s">
        <v>3728</v>
      </c>
      <c r="D3" s="81"/>
      <c r="E3" s="85">
        <v>900235498</v>
      </c>
      <c r="F3" s="86"/>
      <c r="G3" s="87"/>
    </row>
    <row r="4" spans="3:19" ht="20.25" x14ac:dyDescent="0.3">
      <c r="C4" s="80" t="s">
        <v>3730</v>
      </c>
      <c r="D4" s="81"/>
      <c r="E4" s="85" t="s">
        <v>3733</v>
      </c>
      <c r="F4" s="86"/>
      <c r="G4" s="87"/>
    </row>
    <row r="5" spans="3:19" ht="20.25" x14ac:dyDescent="0.3">
      <c r="C5" s="80" t="s">
        <v>3823</v>
      </c>
      <c r="D5" s="81"/>
      <c r="E5" s="85" t="s">
        <v>3824</v>
      </c>
      <c r="F5" s="86"/>
      <c r="G5" s="87"/>
    </row>
    <row r="6" spans="3:19" ht="20.25" x14ac:dyDescent="0.3">
      <c r="C6" s="80" t="s">
        <v>3825</v>
      </c>
      <c r="D6" s="81"/>
      <c r="E6" s="85" t="s">
        <v>3826</v>
      </c>
      <c r="F6" s="86"/>
      <c r="G6" s="87"/>
    </row>
    <row r="7" spans="3:19" ht="20.25" x14ac:dyDescent="0.3">
      <c r="C7" s="80" t="s">
        <v>3978</v>
      </c>
      <c r="D7" s="81"/>
      <c r="E7" s="82">
        <f>tbl_libro_auxiliar_bancos[[#Totals],[Saldo]]</f>
        <v>8430820</v>
      </c>
      <c r="F7" s="83"/>
      <c r="G7" s="84"/>
    </row>
    <row r="8" spans="3:19" ht="20.25" x14ac:dyDescent="0.3">
      <c r="C8" s="80" t="s">
        <v>3979</v>
      </c>
      <c r="D8" s="81"/>
      <c r="E8" s="82">
        <f>'Extracto Cta Bancolombia'!F60</f>
        <v>11452141.09</v>
      </c>
      <c r="F8" s="83"/>
      <c r="G8" s="84"/>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6" t="s">
        <v>4011</v>
      </c>
      <c r="D13" s="96"/>
      <c r="E13" s="96"/>
      <c r="G13" s="96" t="s">
        <v>4044</v>
      </c>
      <c r="H13" s="96"/>
      <c r="I13" s="96"/>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7" t="s">
        <v>4012</v>
      </c>
      <c r="D23" s="97"/>
      <c r="E23" s="97"/>
      <c r="G23" s="97" t="s">
        <v>4045</v>
      </c>
      <c r="H23" s="97"/>
      <c r="I23" s="97"/>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3" t="s">
        <v>4013</v>
      </c>
      <c r="D32" s="93"/>
      <c r="E32" s="93"/>
      <c r="G32" s="93" t="s">
        <v>4051</v>
      </c>
      <c r="H32" s="93"/>
      <c r="I32" s="93"/>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4" t="s">
        <v>4014</v>
      </c>
      <c r="D46" s="94"/>
      <c r="E46" s="94"/>
      <c r="G46" s="94" t="s">
        <v>4046</v>
      </c>
      <c r="H46" s="94"/>
      <c r="I46" s="94"/>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3" t="s">
        <v>4015</v>
      </c>
      <c r="D52" s="93"/>
      <c r="E52" s="93"/>
      <c r="G52" s="93" t="s">
        <v>4047</v>
      </c>
      <c r="H52" s="93"/>
      <c r="I52" s="93"/>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4" t="s">
        <v>4016</v>
      </c>
      <c r="D58" s="94"/>
      <c r="E58" s="94"/>
      <c r="G58" s="94" t="s">
        <v>4048</v>
      </c>
      <c r="H58" s="94"/>
      <c r="I58" s="94"/>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3" t="s">
        <v>4017</v>
      </c>
      <c r="D64" s="93"/>
      <c r="E64" s="93"/>
      <c r="G64" s="93" t="s">
        <v>4049</v>
      </c>
      <c r="H64" s="93"/>
      <c r="I64" s="93"/>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4" t="s">
        <v>4018</v>
      </c>
      <c r="D70" s="94"/>
      <c r="E70" s="94"/>
      <c r="G70" s="94" t="s">
        <v>4050</v>
      </c>
      <c r="H70" s="94"/>
      <c r="I70" s="94"/>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5" t="s">
        <v>4001</v>
      </c>
      <c r="D74" s="95"/>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5" t="s">
        <v>4043</v>
      </c>
      <c r="H74" s="95"/>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 ref="G64:I64"/>
    <mergeCell ref="G70:I70"/>
    <mergeCell ref="C4:D4"/>
    <mergeCell ref="E4:G4"/>
    <mergeCell ref="C5:D5"/>
    <mergeCell ref="E5:G5"/>
    <mergeCell ref="G46:I46"/>
    <mergeCell ref="G52:I52"/>
    <mergeCell ref="C6:D6"/>
    <mergeCell ref="E6:G6"/>
    <mergeCell ref="C7:D7"/>
    <mergeCell ref="E7:G7"/>
    <mergeCell ref="C1:G1"/>
    <mergeCell ref="C2:D2"/>
    <mergeCell ref="E2:G2"/>
    <mergeCell ref="C3:D3"/>
    <mergeCell ref="E3:G3"/>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tabSelected="1" topLeftCell="O12" workbookViewId="0">
      <selection activeCell="R24" sqref="R24"/>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2024-06-10T19:49:22Z</dcterms:modified>
</cp:coreProperties>
</file>