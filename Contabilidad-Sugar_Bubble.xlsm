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7.xml" ContentType="application/vnd.openxmlformats-officedocument.drawing+xml"/>
  <Override PartName="/xl/tables/table25.xml" ContentType="application/vnd.openxmlformats-officedocument.spreadsheetml.table+xml"/>
  <Override PartName="/xl/drawings/drawing8.xml" ContentType="application/vnd.openxmlformats-officedocument.drawing+xml"/>
  <Override PartName="/xl/tables/table26.xml" ContentType="application/vnd.openxmlformats-officedocument.spreadsheetml.table+xml"/>
  <Override PartName="/xl/drawings/drawing9.xml" ContentType="application/vnd.openxmlformats-officedocument.drawing+xml"/>
  <Override PartName="/xl/tables/table27.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28.xml" ContentType="application/vnd.openxmlformats-officedocument.spreadsheetml.table+xml"/>
  <Override PartName="/xl/drawings/drawing11.xml" ContentType="application/vnd.openxmlformats-officedocument.drawing+xml"/>
  <Override PartName="/xl/tables/table29.xml" ContentType="application/vnd.openxmlformats-officedocument.spreadsheetml.table+xml"/>
  <Override PartName="/xl/drawings/drawing12.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drawings/drawing13.xml" ContentType="application/vnd.openxmlformats-officedocument.drawing+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16E88DCD-7777-4AEC-A5C2-71EDEDB32ECF}" xr6:coauthVersionLast="47" xr6:coauthVersionMax="47" xr10:uidLastSave="{00000000-0000-0000-0000-000000000000}"/>
  <bookViews>
    <workbookView xWindow="-120" yWindow="-120" windowWidth="20730" windowHeight="11040" firstSheet="3" activeTab="6"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Libro Mayor" sheetId="19"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3">apertura_caja_menor!$B$2:$F$16</definedName>
    <definedName name="_xlnm.Print_Area" localSheetId="10">'Extracto Cta Bancolombia'!$A$1:$F$60</definedName>
    <definedName name="_xlnm.Print_Area" localSheetId="4">Hoja_trabajo!$B$2:$I$47</definedName>
    <definedName name="_xlnm.Print_Area" localSheetId="8">'Libro Auxiliar Bancos'!$C$1:$H$41</definedName>
    <definedName name="_xlnm.Print_Area" localSheetId="5">Reconocimiento_reembolso_CM!$B$1:$F$39</definedName>
    <definedName name="DatosExternos_1" localSheetId="9"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64" i="19" l="1"/>
  <c r="L164" i="19"/>
  <c r="M139" i="19"/>
  <c r="L139" i="19"/>
  <c r="M135" i="19"/>
  <c r="L135" i="19"/>
  <c r="M131" i="19"/>
  <c r="L131" i="19"/>
  <c r="M127" i="19"/>
  <c r="L127" i="19"/>
  <c r="E46" i="19"/>
  <c r="D46" i="19"/>
  <c r="E42" i="19"/>
  <c r="D42" i="19"/>
  <c r="E38" i="19"/>
  <c r="D38" i="19"/>
  <c r="E34" i="19"/>
  <c r="D34" i="19"/>
  <c r="E30" i="19"/>
  <c r="D30" i="19"/>
  <c r="E26" i="19"/>
  <c r="D26" i="19"/>
  <c r="E22" i="19"/>
  <c r="D22" i="19"/>
  <c r="E18" i="19"/>
  <c r="D18" i="19"/>
  <c r="E14" i="19"/>
  <c r="D14" i="19"/>
  <c r="E10" i="19"/>
  <c r="D10" i="19"/>
  <c r="E6" i="19"/>
  <c r="D6" i="19"/>
  <c r="M20" i="19"/>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<sst xmlns="http://schemas.openxmlformats.org/spreadsheetml/2006/main" count="6205" uniqueCount="4129">
  <si>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</si>
  <si>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</si>
  <si>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</si>
  <si>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</si>
  <si>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</si>
  <si>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</si>
  <si>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</si>
  <si>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</si>
  <si>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</si>
  <si>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</si>
  <si>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</si>
  <si>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</si>
  <si>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</si>
  <si>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</si>
  <si>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</si>
  <si>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</si>
  <si>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</si>
  <si>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</si>
  <si>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</si>
  <si>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</si>
  <si>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</si>
  <si>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</si>
  <si>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</si>
  <si>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</si>
  <si>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</si>
  <si>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</si>
  <si>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</si>
  <si>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</si>
  <si>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</si>
  <si>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</si>
  <si>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</si>
  <si>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</si>
  <si>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</si>
  <si>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</si>
  <si>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</si>
  <si>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</si>
  <si>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</si>
  <si>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</si>
  <si>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</si>
  <si>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</si>
  <si>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</si>
  <si>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</si>
  <si>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</si>
  <si>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</si>
  <si>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</si>
  <si>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</si>
  <si>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</si>
  <si>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</si>
  <si>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</si>
  <si>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</si>
  <si>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</si>
  <si>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</si>
  <si>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</si>
  <si>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</si>
  <si>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</si>
  <si>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</si>
  <si>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</si>
  <si>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</si>
  <si>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</si>
  <si>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</si>
  <si>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</si>
  <si>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</si>
  <si>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</si>
  <si>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</si>
  <si>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</si>
  <si>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</si>
  <si>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</si>
  <si>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</si>
  <si>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</si>
  <si>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</si>
  <si>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</si>
  <si>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</si>
  <si>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</si>
  <si>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</si>
  <si>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</si>
  <si>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</si>
  <si>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</si>
  <si>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</si>
  <si>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</si>
  <si>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</si>
  <si>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</si>
  <si>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</si>
  <si>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</si>
  <si>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</si>
  <si>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</si>
  <si>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</si>
  <si>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</si>
  <si>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</si>
  <si>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</si>
  <si>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</si>
  <si>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</si>
  <si>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</si>
  <si>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</si>
  <si>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</si>
  <si>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</si>
  <si>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</si>
  <si>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</si>
  <si>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</si>
  <si>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</si>
  <si>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</si>
  <si>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</si>
  <si>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</si>
  <si>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</si>
  <si>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</si>
  <si>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</si>
  <si>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</si>
  <si>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</si>
  <si>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</si>
  <si>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</si>
  <si>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</si>
  <si>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</si>
  <si>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</si>
  <si>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</si>
  <si>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</si>
  <si>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</si>
  <si>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</si>
  <si>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</si>
  <si>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</si>
  <si>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</si>
  <si>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</si>
  <si>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</si>
  <si>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</si>
  <si>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</si>
  <si>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</si>
  <si>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</si>
  <si>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</si>
  <si>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</si>
  <si>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</si>
  <si>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</si>
  <si>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</si>
  <si>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</si>
  <si>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</si>
  <si>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</si>
  <si>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</si>
  <si>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</si>
  <si>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</si>
  <si>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</si>
  <si>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</si>
  <si>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</si>
  <si>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</si>
  <si>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</si>
  <si>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</si>
  <si>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</si>
  <si>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</si>
  <si>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</si>
  <si>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</si>
  <si>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</si>
  <si>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</si>
  <si>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</si>
  <si>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</si>
  <si>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</si>
  <si>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</si>
  <si>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</si>
  <si>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</si>
  <si>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</si>
  <si>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</si>
  <si>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</si>
  <si>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</si>
  <si>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</si>
  <si>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</si>
  <si>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</si>
  <si>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</si>
  <si>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</si>
  <si>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</si>
  <si>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</si>
  <si>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</si>
  <si>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</si>
  <si>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</si>
  <si>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</si>
  <si>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</si>
  <si>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</si>
  <si>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</si>
  <si>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</si>
  <si>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</si>
  <si>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</si>
  <si>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</si>
  <si>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</si>
  <si>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</si>
  <si>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</si>
  <si>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</si>
  <si>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</si>
  <si>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</si>
  <si>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</si>
  <si>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</si>
  <si>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</si>
  <si>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</si>
  <si>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</si>
  <si>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</si>
  <si>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</si>
  <si>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</si>
  <si>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</si>
  <si>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</si>
  <si>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</si>
  <si>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</si>
  <si>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</si>
  <si>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</si>
  <si>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</si>
  <si>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</si>
  <si>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</si>
  <si>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</si>
  <si>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</si>
  <si>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</si>
  <si>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</si>
  <si>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</si>
  <si>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</si>
  <si>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</si>
  <si>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</si>
  <si>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</si>
  <si>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</si>
  <si>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</si>
  <si>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</si>
  <si>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</si>
  <si>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</si>
  <si>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</si>
  <si>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</si>
  <si>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</si>
  <si>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</si>
  <si>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</si>
  <si>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</si>
  <si>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</si>
  <si>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</si>
  <si>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</si>
  <si>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</si>
  <si>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</si>
  <si>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</si>
  <si>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</si>
  <si>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</si>
  <si>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</si>
  <si>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</si>
  <si>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</si>
  <si>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</si>
  <si>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</si>
  <si>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</si>
  <si>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</si>
  <si>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</si>
  <si>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</si>
  <si>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</si>
  <si>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</si>
  <si>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</si>
  <si>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</si>
  <si>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</si>
  <si>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</si>
  <si>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</si>
  <si>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</si>
  <si>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</si>
  <si>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</si>
  <si>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</si>
  <si>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</si>
  <si>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</si>
  <si>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</si>
  <si>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</si>
  <si>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</si>
  <si>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</si>
  <si>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</si>
  <si>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</si>
  <si>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</si>
  <si>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</si>
  <si>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</si>
  <si>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</si>
  <si>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</si>
  <si>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</si>
  <si>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</si>
  <si>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</si>
  <si>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</si>
  <si>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</si>
  <si>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</si>
  <si>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</si>
  <si>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</si>
  <si>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</si>
  <si>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</si>
  <si>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</si>
  <si>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</si>
  <si>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</si>
  <si>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</si>
  <si>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</si>
  <si>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</si>
  <si>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</si>
  <si>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</si>
  <si>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</si>
  <si>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</si>
  <si>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</si>
  <si>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</si>
  <si>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</si>
  <si>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</si>
  <si>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</si>
  <si>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</si>
  <si>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</si>
  <si>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</si>
  <si>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</si>
  <si>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</si>
  <si>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</si>
  <si>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</si>
  <si>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</si>
  <si>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</si>
  <si>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</si>
  <si>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</si>
  <si>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</si>
  <si>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</si>
  <si>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</si>
  <si>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</si>
  <si>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</si>
  <si>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</si>
  <si>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</si>
  <si>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</si>
  <si>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</si>
  <si>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</si>
  <si>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</si>
  <si>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</si>
  <si>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</si>
  <si>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</si>
  <si>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</si>
  <si>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</si>
  <si>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</si>
  <si>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</si>
  <si>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</si>
  <si>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</si>
  <si>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</si>
  <si>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</si>
  <si>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</si>
  <si>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</si>
  <si>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</si>
  <si>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</si>
  <si>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</si>
  <si>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</si>
  <si>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</si>
  <si>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</si>
  <si>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</si>
  <si>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</si>
  <si>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</si>
  <si>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</si>
  <si>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</si>
  <si>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</si>
  <si>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</si>
  <si>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</si>
  <si>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</si>
  <si>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</si>
  <si>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</si>
  <si>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</si>
  <si>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</si>
  <si>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</si>
  <si>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</si>
  <si>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</si>
  <si>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</si>
  <si>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</si>
  <si>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</si>
  <si>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</si>
  <si>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</si>
  <si>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</si>
  <si>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</si>
  <si>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</si>
  <si>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</si>
  <si>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</si>
  <si>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</si>
  <si>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</si>
  <si>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</si>
  <si>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</si>
  <si>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</si>
  <si>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</si>
  <si>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</si>
  <si>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</si>
  <si>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</si>
  <si>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</si>
  <si>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</si>
  <si>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</si>
  <si>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</si>
  <si>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</si>
  <si>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</si>
  <si>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</si>
  <si>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</si>
  <si>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</si>
  <si>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</si>
  <si>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</si>
  <si>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</si>
  <si>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</si>
  <si>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</si>
  <si>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</si>
  <si>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</si>
  <si>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</si>
  <si>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</si>
  <si>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</si>
  <si>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</si>
  <si>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</si>
  <si>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</si>
  <si>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</si>
  <si>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</si>
  <si>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</si>
  <si>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</si>
  <si>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</si>
  <si>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</si>
  <si>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</si>
  <si>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</si>
  <si>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</si>
  <si>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</si>
  <si>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</si>
  <si>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</si>
  <si>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</si>
  <si>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</si>
  <si>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</si>
  <si>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</si>
  <si>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</si>
  <si>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</si>
  <si>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</si>
  <si>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</si>
  <si>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</si>
  <si>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</si>
  <si>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</si>
  <si>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</si>
  <si>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</si>
  <si>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</si>
  <si>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</si>
  <si>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</si>
  <si>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</si>
  <si>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</si>
  <si>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</si>
  <si>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</si>
  <si>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</si>
  <si>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</si>
  <si>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</si>
  <si>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</si>
  <si>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</si>
  <si>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</si>
  <si>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</si>
  <si>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</si>
  <si>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</si>
  <si>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</si>
  <si>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</si>
  <si>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</si>
  <si>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</si>
  <si>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</si>
  <si>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</si>
  <si>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</si>
  <si>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</si>
  <si>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</si>
  <si>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</si>
  <si>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</si>
  <si>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</si>
  <si>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</si>
  <si>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</si>
  <si>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</si>
  <si>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</si>
  <si>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</si>
  <si>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</si>
  <si>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</si>
  <si>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</si>
  <si>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</si>
  <si>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</si>
  <si>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</si>
  <si>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</si>
  <si>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</si>
  <si>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</si>
  <si>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</si>
  <si>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</si>
  <si>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</si>
  <si>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</si>
  <si>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</si>
  <si>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</si>
  <si>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</si>
  <si>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</si>
  <si>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</si>
  <si>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</si>
  <si>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</si>
  <si>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</si>
  <si>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</si>
  <si>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</si>
  <si>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</si>
  <si>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</si>
  <si>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</si>
  <si>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</si>
  <si>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</si>
  <si>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</si>
  <si>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</si>
  <si>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</si>
  <si>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</si>
  <si>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</si>
  <si>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</si>
  <si>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</si>
  <si>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</si>
  <si>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</si>
  <si>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</si>
  <si>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</si>
  <si>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</si>
  <si>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</si>
  <si>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</si>
  <si>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</si>
  <si>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</si>
  <si>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</si>
  <si>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</si>
  <si>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</si>
  <si>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</si>
  <si>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</si>
  <si>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</si>
  <si>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</si>
  <si>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</si>
  <si>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</si>
  <si>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</si>
  <si>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</si>
  <si>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</si>
  <si>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</si>
  <si>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</si>
  <si>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</si>
  <si>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</si>
  <si>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</si>
  <si>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</si>
  <si>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</si>
  <si>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</si>
  <si>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</si>
  <si>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</si>
  <si>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</si>
  <si>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</si>
  <si>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</si>
  <si>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</si>
  <si>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</si>
  <si>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</si>
  <si>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</si>
  <si>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</si>
  <si>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</si>
  <si>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</si>
  <si>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</si>
  <si>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</si>
  <si>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</si>
  <si>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</si>
  <si>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</si>
  <si>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</si>
  <si>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</si>
  <si>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</si>
  <si>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</si>
  <si>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</si>
  <si>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</si>
  <si>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</si>
  <si>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</si>
  <si>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</si>
  <si>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</si>
  <si>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</si>
  <si>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</si>
  <si>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</si>
  <si>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</si>
  <si>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</si>
  <si>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</si>
  <si>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</si>
  <si>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</si>
  <si>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</si>
  <si>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</si>
  <si>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</si>
  <si>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</si>
  <si>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</si>
  <si>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</si>
  <si>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</si>
  <si>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</si>
  <si>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</si>
  <si>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</si>
  <si>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</si>
  <si>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</si>
  <si>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</si>
  <si>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</si>
  <si>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</si>
  <si>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</si>
  <si>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</si>
  <si>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</si>
  <si>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</si>
  <si>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</si>
  <si>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</si>
  <si>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</si>
  <si>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</si>
  <si>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</si>
  <si>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</si>
  <si>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</si>
  <si>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</si>
  <si>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</si>
  <si>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</si>
  <si>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</si>
  <si>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</si>
  <si>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</si>
  <si>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</si>
  <si>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</si>
  <si>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</si>
  <si>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</si>
  <si>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</si>
  <si>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</si>
  <si>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</si>
  <si>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</si>
  <si>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</si>
  <si>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</si>
  <si>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</si>
  <si>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</si>
  <si>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</si>
  <si>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</si>
  <si>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</si>
  <si>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</si>
  <si>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</si>
  <si>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</si>
  <si>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</si>
  <si>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</si>
  <si>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</si>
  <si>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</si>
  <si>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</si>
  <si>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</si>
  <si>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</si>
  <si>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</si>
  <si>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</si>
  <si>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</si>
  <si>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</si>
  <si>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</si>
  <si>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</si>
  <si>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</si>
  <si>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</si>
  <si>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</si>
  <si>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</si>
  <si>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</si>
  <si>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</si>
  <si>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</si>
  <si>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</si>
  <si>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</si>
  <si>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</si>
  <si>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</si>
  <si>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</si>
  <si>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</si>
  <si>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</si>
  <si>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</si>
  <si>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</si>
  <si>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</si>
  <si>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</si>
  <si>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</si>
  <si>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</si>
  <si>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</si>
  <si>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</si>
  <si>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</si>
  <si>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</si>
  <si>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</si>
  <si>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</si>
  <si>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</si>
  <si>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</si>
  <si>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</si>
  <si>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</si>
  <si>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</si>
  <si>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</si>
  <si>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</si>
  <si>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</si>
  <si>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</si>
  <si>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</si>
  <si>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</si>
  <si>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</si>
  <si>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</si>
  <si>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</si>
  <si>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</si>
  <si>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</si>
  <si>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</si>
  <si>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</si>
  <si>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</si>
  <si>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</si>
  <si>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</si>
  <si>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</si>
  <si>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</si>
  <si>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</si>
  <si>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</si>
  <si>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</si>
  <si>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</si>
  <si>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</si>
  <si>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</si>
  <si>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</si>
  <si>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</si>
  <si>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</si>
  <si>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</si>
  <si>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</si>
  <si>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</si>
  <si>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</si>
  <si>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</si>
  <si>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</si>
  <si>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</si>
  <si>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</si>
  <si>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</si>
  <si>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</si>
  <si>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</si>
  <si>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</si>
  <si>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</si>
  <si>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</si>
  <si>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</si>
  <si>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</si>
  <si>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</si>
  <si>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</si>
  <si>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</si>
  <si>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</si>
  <si>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</si>
  <si>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</si>
  <si>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</si>
  <si>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</si>
  <si>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</si>
  <si>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</si>
  <si>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</si>
  <si>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</si>
  <si>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</si>
  <si>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</si>
  <si>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</si>
  <si>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</si>
  <si>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</si>
  <si>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</si>
  <si>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</si>
  <si>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</si>
  <si>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</si>
  <si>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</si>
  <si>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</si>
  <si>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</si>
  <si>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</si>
  <si>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</si>
  <si>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</si>
  <si>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</si>
  <si>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</si>
  <si>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</si>
  <si>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</si>
  <si>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</si>
  <si>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</si>
  <si>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</si>
  <si>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</si>
  <si>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</si>
  <si>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</si>
  <si>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</si>
  <si>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</si>
  <si>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</si>
  <si>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</si>
  <si>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</si>
  <si>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</si>
  <si>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</si>
  <si>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</si>
  <si>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</si>
  <si>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</si>
  <si>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</si>
  <si>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</si>
  <si>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</si>
  <si>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</si>
  <si>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</si>
  <si>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</si>
  <si>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</si>
  <si>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</si>
  <si>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</si>
  <si>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</si>
  <si>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</si>
  <si>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</si>
  <si>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</si>
  <si>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</si>
  <si>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</si>
  <si>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</si>
  <si>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</si>
  <si>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</si>
  <si>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</si>
  <si>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</si>
  <si>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</si>
  <si>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</si>
  <si>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</si>
  <si>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</si>
  <si>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</si>
  <si>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</si>
  <si>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</si>
  <si>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</si>
  <si>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</si>
  <si>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</si>
  <si>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</si>
  <si>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</si>
  <si>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</si>
  <si>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</si>
  <si>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</si>
  <si>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</si>
  <si>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</si>
  <si>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</si>
  <si>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</si>
  <si>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</si>
  <si>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</si>
  <si>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</si>
  <si>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</si>
  <si>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</si>
  <si>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</si>
  <si>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</si>
  <si>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</si>
  <si>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</si>
  <si>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</si>
  <si>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</si>
  <si>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</si>
  <si>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</si>
  <si>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</si>
  <si>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</si>
  <si>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</si>
  <si>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</si>
  <si>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</si>
  <si>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</si>
  <si>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</si>
  <si>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</si>
  <si>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</si>
  <si>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</si>
  <si>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</si>
  <si>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</si>
  <si>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</si>
  <si>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</si>
  <si>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</si>
  <si>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</si>
  <si>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</si>
  <si>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</si>
  <si>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</si>
  <si>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</si>
  <si>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</si>
  <si>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</si>
  <si>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</si>
  <si>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</si>
  <si>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</si>
  <si>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</si>
  <si>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</si>
  <si>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</si>
  <si>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</si>
  <si>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</si>
  <si>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</si>
  <si>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</si>
  <si>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</si>
  <si>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</si>
  <si>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</si>
  <si>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</si>
  <si>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</si>
  <si>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</si>
  <si>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</si>
  <si>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</si>
  <si>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</si>
  <si>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</si>
  <si>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</si>
  <si>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</si>
  <si>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</si>
  <si>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</si>
  <si>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</si>
  <si>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</si>
  <si>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</si>
  <si>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</si>
  <si>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</si>
  <si>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</si>
  <si>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</si>
  <si>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</si>
  <si>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</si>
  <si>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</si>
  <si>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</si>
  <si>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</si>
  <si>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</si>
  <si>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</si>
  <si>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</si>
  <si>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</si>
  <si>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</si>
  <si>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</si>
  <si>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</si>
  <si>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</si>
  <si>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</si>
  <si>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</si>
  <si>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</si>
  <si>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</si>
  <si>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</si>
  <si>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</si>
  <si>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</si>
  <si>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</si>
  <si>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</si>
  <si>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</si>
  <si>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</si>
  <si>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</si>
  <si>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</si>
  <si>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</si>
  <si>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</si>
  <si>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</si>
  <si>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</si>
  <si>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</si>
  <si>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</si>
  <si>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</si>
  <si>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</si>
  <si>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</si>
  <si>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</si>
  <si>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</si>
  <si>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</si>
  <si>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</si>
  <si>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</si>
  <si>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</si>
  <si>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</si>
  <si>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</si>
  <si>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</si>
  <si>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</si>
  <si>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</si>
  <si>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</si>
  <si>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</si>
  <si>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</si>
  <si>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</si>
  <si>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</si>
  <si>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</si>
  <si>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</si>
  <si>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</si>
  <si>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</si>
  <si>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</si>
  <si>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</si>
  <si>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</si>
  <si>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</si>
  <si>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</si>
  <si>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</si>
  <si>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</si>
  <si>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</si>
  <si>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</si>
  <si>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</si>
  <si>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</si>
  <si>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</si>
  <si>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</si>
  <si>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</si>
  <si>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</si>
  <si>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</si>
  <si>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</si>
  <si>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</si>
  <si>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</si>
  <si>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</si>
  <si>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</si>
  <si>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</si>
  <si>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</si>
  <si>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</si>
  <si>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</si>
  <si>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</si>
  <si>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</si>
  <si>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</si>
  <si>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</si>
  <si>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</si>
  <si>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</si>
  <si>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</si>
  <si>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</si>
  <si>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</si>
  <si>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</si>
  <si>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</si>
  <si>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</si>
  <si>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</si>
  <si>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</si>
  <si>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</si>
  <si>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</si>
  <si>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</si>
  <si>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</si>
  <si>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</si>
  <si>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</si>
  <si>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</si>
  <si>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</si>
  <si>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</si>
  <si>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</si>
  <si>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</si>
  <si>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</si>
  <si>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</si>
  <si>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</si>
  <si>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</si>
  <si>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</si>
  <si>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</si>
  <si>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</si>
  <si>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</si>
  <si>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</si>
  <si>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</si>
  <si>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</si>
  <si>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</si>
  <si>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</si>
  <si>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</si>
  <si>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</si>
  <si>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</si>
  <si>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</si>
  <si>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</si>
  <si>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</si>
  <si>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</si>
  <si>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</si>
  <si>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</si>
  <si>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</si>
  <si>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</si>
  <si>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</si>
  <si>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</si>
  <si>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</si>
  <si>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</si>
  <si>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</si>
  <si>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</si>
  <si>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</si>
  <si>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</si>
  <si>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</si>
  <si>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</si>
  <si>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</si>
  <si>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</si>
  <si>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</si>
  <si>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</si>
  <si>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</si>
  <si>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</si>
  <si>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</si>
  <si>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</si>
  <si>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</si>
  <si>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</si>
  <si>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</si>
  <si>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</si>
  <si>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</si>
  <si>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</si>
  <si>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</si>
  <si>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</si>
  <si>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</si>
  <si>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</si>
  <si>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</si>
  <si>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</si>
  <si>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</si>
  <si>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</si>
  <si>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</si>
  <si>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</si>
  <si>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</si>
  <si>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</si>
  <si>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</si>
  <si>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</si>
  <si>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</si>
  <si>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</si>
  <si>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</si>
  <si>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</si>
  <si>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</si>
  <si>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</si>
  <si>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</si>
  <si>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</si>
  <si>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</si>
  <si>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</si>
  <si>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</si>
  <si>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</si>
  <si>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</si>
  <si>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</si>
  <si>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</si>
  <si>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</si>
  <si>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</si>
  <si>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</si>
  <si>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</si>
  <si>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</si>
  <si>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</si>
  <si>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</si>
  <si>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</si>
  <si>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</si>
  <si>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</si>
  <si>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</si>
  <si>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</si>
  <si>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</si>
  <si>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</si>
  <si>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</si>
  <si>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</si>
  <si>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</si>
  <si>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</si>
  <si>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</si>
  <si>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</si>
  <si>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</si>
  <si>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</si>
  <si>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</si>
  <si>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</si>
  <si>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</si>
  <si>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</si>
  <si>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</si>
  <si>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</si>
  <si>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</si>
  <si>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</si>
  <si>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</si>
  <si>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</si>
  <si>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</si>
  <si>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</si>
  <si>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</si>
  <si>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</si>
  <si>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</si>
  <si>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</si>
  <si>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</si>
  <si>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</si>
  <si>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</si>
  <si>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</si>
  <si>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</si>
  <si>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</si>
  <si>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</si>
  <si>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</si>
  <si>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</si>
  <si>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</si>
  <si>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</si>
  <si>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</si>
  <si>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</si>
  <si>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</si>
  <si>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</si>
  <si>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</si>
  <si>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</si>
  <si>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</si>
  <si>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</si>
  <si>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</si>
  <si>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</si>
  <si>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</si>
  <si>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</si>
  <si>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</si>
  <si>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</si>
  <si>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</si>
  <si>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</si>
  <si>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</si>
  <si>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</si>
  <si>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</si>
  <si>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</si>
  <si>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</si>
  <si>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</si>
  <si>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</si>
  <si>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</si>
  <si>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</si>
  <si>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</si>
  <si>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</si>
  <si>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</si>
  <si>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</si>
  <si>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</si>
  <si>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</si>
  <si>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</si>
  <si>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</si>
  <si>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</si>
  <si>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</si>
  <si>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</si>
  <si>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</si>
  <si>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</si>
  <si>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</si>
  <si>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</si>
  <si>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</si>
  <si>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</si>
  <si>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</si>
  <si>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</si>
  <si>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</si>
  <si>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</si>
  <si>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</si>
  <si>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</si>
  <si>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</si>
  <si>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</si>
  <si>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</si>
  <si>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</si>
  <si>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</si>
  <si>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</si>
  <si>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</si>
  <si>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</si>
  <si>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</si>
  <si>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</si>
  <si>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</si>
  <si>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</si>
  <si>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</si>
  <si>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</si>
  <si>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</si>
  <si>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</si>
  <si>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</si>
  <si>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</si>
  <si>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</si>
  <si>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</si>
  <si>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</si>
  <si>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</si>
  <si>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</si>
  <si>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</si>
  <si>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</si>
  <si>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</si>
  <si>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</si>
  <si>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</si>
  <si>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</si>
  <si>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</si>
  <si>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</si>
  <si>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</si>
  <si>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</si>
  <si>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</si>
  <si>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</si>
  <si>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</si>
  <si>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</si>
  <si>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</si>
  <si>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</si>
  <si>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</si>
  <si>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</si>
  <si>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</si>
  <si>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</si>
  <si>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</si>
  <si>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</si>
  <si>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</si>
  <si>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</si>
  <si>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</si>
  <si>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</si>
  <si>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</si>
  <si>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</si>
  <si>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</si>
  <si>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</si>
  <si>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</si>
  <si>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</si>
  <si>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</si>
  <si>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</si>
  <si>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</si>
  <si>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</si>
  <si>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</si>
  <si>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</si>
  <si>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</si>
  <si>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</si>
  <si>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</si>
  <si>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</si>
  <si>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</si>
  <si>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</si>
  <si>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</si>
  <si>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</si>
  <si>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</si>
  <si>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</si>
  <si>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</si>
  <si>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</si>
  <si>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</si>
  <si>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</si>
  <si>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</si>
  <si>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</si>
  <si>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</si>
  <si>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</si>
  <si>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</si>
  <si>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</si>
  <si>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</si>
  <si>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</si>
  <si>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</si>
  <si>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</si>
  <si>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</si>
  <si>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</si>
  <si>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</si>
  <si>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</si>
  <si>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</si>
  <si>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</si>
  <si>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</si>
  <si>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</si>
  <si>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</si>
  <si>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</si>
  <si>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</si>
  <si>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</si>
  <si>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</si>
  <si>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</si>
  <si>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</si>
  <si>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</si>
  <si>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</si>
  <si>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</si>
  <si>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</si>
  <si>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</si>
  <si>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</si>
  <si>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</si>
  <si>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</si>
  <si>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</si>
  <si>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</si>
  <si>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</si>
  <si>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</si>
  <si>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</si>
  <si>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</si>
  <si>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</si>
  <si>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</si>
  <si>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</si>
  <si>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</si>
  <si>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</si>
  <si>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</si>
  <si>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</si>
  <si>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</si>
  <si>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</si>
  <si>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</si>
  <si>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</si>
  <si>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</si>
  <si>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</si>
  <si>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</si>
  <si>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</si>
  <si>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</si>
  <si>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</si>
  <si>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</si>
  <si>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</si>
  <si>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</si>
  <si>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</si>
  <si>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</si>
  <si>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</si>
  <si>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</si>
  <si>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</si>
  <si>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</si>
  <si>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</si>
  <si>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</si>
  <si>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</si>
  <si>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</si>
  <si>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</si>
  <si>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</si>
  <si>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</si>
  <si>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</si>
  <si>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</si>
  <si>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</si>
  <si>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</si>
  <si>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</si>
  <si>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</si>
  <si>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</si>
  <si>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</si>
  <si>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</si>
  <si>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</si>
  <si>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</si>
  <si>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</si>
  <si>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</si>
  <si>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</si>
  <si>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</si>
  <si>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</si>
  <si>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</si>
  <si>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</si>
  <si>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</si>
  <si>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</si>
  <si>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</si>
  <si>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</si>
  <si>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</si>
  <si>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</si>
  <si>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</si>
  <si>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</si>
  <si>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</si>
  <si>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</si>
  <si>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</si>
  <si>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</si>
  <si>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</si>
  <si>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</si>
  <si>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</si>
  <si>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</si>
  <si>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</si>
  <si>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</si>
  <si>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</si>
  <si>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</si>
  <si>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</si>
  <si>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</si>
  <si>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</si>
  <si>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</si>
  <si>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</si>
  <si>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</si>
  <si>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</si>
  <si>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</si>
  <si>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</si>
  <si>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</si>
  <si>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</si>
  <si>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</si>
  <si>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</si>
  <si>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</si>
  <si>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</si>
  <si>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</si>
  <si>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</si>
  <si>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</si>
  <si>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</si>
  <si>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</si>
  <si>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</si>
  <si>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</si>
  <si>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</si>
  <si>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</si>
  <si>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</si>
  <si>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</si>
  <si>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</si>
  <si>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</si>
  <si>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</si>
  <si>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</si>
  <si>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</si>
  <si>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</si>
  <si>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</si>
  <si>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</si>
  <si>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</si>
  <si>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</si>
  <si>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</si>
  <si>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</si>
  <si>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</si>
  <si>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</si>
  <si>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</si>
  <si>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</si>
  <si>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</si>
  <si>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</si>
  <si>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</si>
  <si>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</si>
  <si>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</si>
  <si>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</si>
  <si>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</si>
  <si>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</si>
  <si>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</si>
  <si>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</si>
  <si>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</si>
  <si>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</si>
  <si>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</si>
  <si>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</si>
  <si>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</si>
  <si>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</si>
  <si>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</si>
  <si>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</si>
  <si>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</si>
  <si>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</si>
  <si>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</si>
  <si>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</si>
  <si>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</si>
  <si>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</si>
  <si>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</si>
  <si>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</si>
  <si>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</si>
  <si>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</si>
  <si>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</si>
  <si>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</si>
  <si>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</si>
  <si>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</si>
  <si>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</si>
  <si>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</si>
  <si>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</si>
  <si>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</si>
  <si>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</si>
  <si>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</si>
  <si>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</si>
  <si>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</si>
  <si>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</si>
  <si>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</si>
  <si>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</si>
  <si>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</si>
  <si>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</si>
  <si>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</si>
  <si>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</si>
  <si>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</si>
  <si>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</si>
  <si>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</si>
  <si>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</si>
  <si>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</si>
  <si>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</si>
  <si>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</si>
  <si>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</si>
  <si>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</si>
  <si>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</si>
  <si>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</si>
  <si>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</si>
  <si>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</si>
  <si>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</si>
  <si>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</si>
  <si>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</si>
  <si>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</si>
  <si>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</si>
  <si>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</si>
  <si>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</si>
  <si>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</si>
  <si>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</si>
  <si>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</si>
  <si>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</si>
  <si>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</si>
  <si>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</si>
  <si>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</si>
  <si>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</si>
  <si>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</si>
  <si>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</si>
  <si>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</si>
  <si>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</si>
  <si>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</si>
  <si>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</si>
  <si>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</si>
  <si>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</si>
  <si>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</si>
  <si>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</si>
  <si>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</si>
  <si>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</si>
  <si>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</si>
  <si>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</si>
  <si>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</si>
  <si>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</si>
  <si>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</si>
  <si>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</si>
  <si>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</si>
  <si>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</si>
  <si>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</si>
  <si>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</si>
  <si>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</si>
  <si>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</si>
  <si>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</si>
  <si>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</si>
  <si>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</si>
  <si>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</si>
  <si>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</si>
  <si>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</si>
  <si>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</si>
  <si>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</si>
  <si>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</si>
  <si>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</si>
  <si>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</si>
  <si>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</si>
  <si>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</si>
  <si>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</si>
  <si>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</si>
  <si>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</si>
  <si>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</si>
  <si>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</si>
  <si>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</si>
  <si>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</si>
  <si>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</si>
  <si>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</si>
  <si>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</si>
  <si>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</si>
  <si>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</si>
  <si>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</si>
  <si>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</si>
  <si>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</si>
  <si>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</si>
  <si>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</si>
  <si>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</si>
  <si>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</si>
  <si>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</si>
  <si>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</si>
  <si>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</si>
  <si>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</si>
  <si>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</si>
  <si>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</si>
  <si>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</si>
  <si>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</si>
  <si>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</si>
  <si>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</si>
  <si>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</si>
  <si>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</si>
  <si>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</si>
  <si>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</si>
  <si>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</si>
  <si>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</si>
  <si>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</si>
  <si>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</si>
  <si>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</si>
  <si>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</si>
  <si>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</si>
  <si>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</si>
  <si>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</si>
  <si>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</si>
  <si>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</si>
  <si>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</si>
  <si>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</si>
  <si>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</si>
  <si>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</si>
  <si>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</si>
  <si>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</si>
  <si>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</si>
  <si>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</si>
  <si>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</si>
  <si>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</si>
  <si>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</si>
  <si>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</si>
  <si>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</si>
  <si>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</si>
  <si>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</si>
  <si>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</si>
  <si>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</si>
  <si>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</si>
  <si>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</si>
  <si>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</si>
  <si>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</si>
  <si>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</si>
  <si>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</si>
  <si>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</si>
  <si>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</si>
  <si>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</si>
  <si>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</si>
  <si>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</si>
  <si>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</si>
  <si>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</si>
  <si>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</si>
  <si>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</si>
  <si>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</si>
  <si>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</si>
  <si>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</si>
  <si>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</si>
  <si>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</si>
  <si>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</si>
  <si>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</si>
  <si>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</si>
  <si>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</si>
  <si>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</si>
  <si>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</si>
  <si>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</si>
  <si>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</si>
  <si>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</si>
  <si>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</si>
  <si>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</si>
  <si>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</si>
  <si>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</si>
  <si>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</si>
  <si>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</si>
  <si>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</si>
  <si>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</si>
  <si>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</si>
  <si>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</si>
  <si>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</si>
  <si>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</si>
  <si>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</si>
  <si>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</si>
  <si>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</si>
  <si>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</si>
  <si>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</si>
  <si>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</si>
  <si>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</si>
  <si>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</si>
  <si>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</si>
  <si>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</si>
  <si>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</si>
  <si>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</si>
  <si>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</si>
  <si>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</si>
  <si>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</si>
  <si>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</si>
  <si>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</si>
  <si>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</si>
  <si>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</si>
  <si>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</si>
  <si>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</si>
  <si>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</si>
  <si>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</si>
  <si>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</si>
  <si>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</si>
  <si>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</si>
  <si>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</si>
  <si>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</si>
  <si>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</si>
  <si>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</si>
  <si>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</si>
  <si>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</si>
  <si>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</si>
  <si>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</si>
  <si>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</si>
  <si>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</si>
  <si>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</si>
  <si>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</si>
  <si>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</si>
  <si>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</si>
  <si>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</si>
  <si>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</si>
  <si>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</si>
  <si>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</si>
  <si>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</si>
  <si>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</si>
  <si>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</si>
  <si>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</si>
  <si>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</si>
  <si>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</si>
  <si>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</si>
  <si>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</si>
  <si>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</si>
  <si>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</si>
  <si>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</si>
  <si>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</si>
  <si>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</si>
  <si>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</si>
  <si>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</si>
  <si>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</si>
  <si>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</si>
  <si>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</si>
  <si>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</si>
  <si>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</si>
  <si>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</si>
  <si>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</si>
  <si>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</si>
  <si>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</si>
  <si>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</si>
  <si>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</si>
  <si>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</si>
  <si>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</si>
  <si>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</si>
  <si>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</si>
  <si>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</si>
  <si>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</si>
  <si>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</si>
  <si>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</si>
  <si>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</si>
  <si>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</si>
  <si>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</si>
  <si>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</si>
  <si>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</si>
  <si>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</si>
  <si>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</si>
  <si>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</si>
  <si>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</si>
  <si>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</si>
  <si>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</si>
  <si>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</si>
  <si>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</si>
  <si>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</si>
  <si>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</si>
  <si>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</si>
  <si>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</si>
  <si>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</si>
  <si>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</si>
  <si>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</si>
  <si>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</si>
  <si>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</si>
  <si>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</si>
  <si>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</si>
  <si>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</si>
  <si>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</si>
  <si>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</si>
  <si>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</si>
  <si>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</si>
  <si>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</si>
  <si>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</si>
  <si>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</si>
  <si>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</si>
  <si>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</si>
  <si>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</si>
  <si>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</si>
  <si>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</si>
  <si>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</si>
  <si>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</si>
  <si>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</si>
  <si>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</si>
  <si>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</si>
  <si>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</si>
  <si>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</si>
  <si>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</si>
  <si>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</si>
  <si>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</si>
  <si>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</si>
  <si>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</si>
  <si>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</si>
  <si>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</si>
  <si>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</si>
  <si>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</si>
  <si>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</si>
  <si>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</si>
  <si>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</si>
  <si>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</si>
  <si>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</si>
  <si>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</si>
  <si>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</si>
  <si>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</si>
  <si>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</si>
  <si>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</si>
  <si>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</si>
  <si>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</si>
  <si>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</si>
  <si>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</si>
  <si>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</si>
  <si>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</si>
  <si>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</si>
  <si>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</si>
  <si>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</si>
  <si>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</si>
  <si>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</si>
  <si>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</si>
  <si>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</si>
  <si>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</si>
  <si>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</si>
  <si>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</si>
  <si>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</si>
  <si>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</si>
  <si>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</si>
  <si>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</si>
  <si>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</si>
  <si>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</si>
  <si>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</si>
  <si>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</si>
  <si>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</si>
  <si>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</si>
  <si>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</si>
  <si>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</si>
  <si>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</si>
  <si>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</si>
  <si>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</si>
  <si>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</si>
  <si>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</si>
  <si>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</si>
  <si>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</si>
  <si>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</si>
  <si>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</si>
  <si>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</si>
  <si>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</si>
  <si>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</si>
  <si>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</si>
  <si>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</si>
  <si>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</si>
  <si>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</si>
  <si>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</si>
  <si>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</si>
  <si>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</si>
  <si>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</si>
  <si>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</si>
  <si>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</si>
  <si>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</si>
  <si>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</si>
  <si>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</si>
  <si>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</si>
  <si>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</si>
  <si>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</si>
  <si>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</si>
  <si>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</si>
  <si>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</si>
  <si>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</si>
  <si>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</si>
  <si>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</si>
  <si>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</si>
  <si>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</si>
  <si>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</si>
  <si>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</si>
  <si>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</si>
  <si>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</si>
  <si>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</si>
  <si>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</si>
  <si>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</si>
  <si>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</si>
  <si>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</si>
  <si>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</si>
  <si>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</si>
  <si>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</si>
  <si>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</si>
  <si>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</si>
  <si>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</si>
  <si>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</si>
  <si>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</si>
  <si>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</si>
  <si>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</si>
  <si>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</si>
  <si>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</si>
  <si>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</si>
  <si>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</si>
  <si>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</si>
  <si>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</si>
  <si>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</si>
  <si>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</si>
  <si>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</si>
  <si>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</si>
  <si>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</si>
  <si>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</si>
  <si>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</si>
  <si>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</si>
  <si>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</si>
  <si>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</si>
  <si>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</si>
  <si>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</si>
  <si>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</si>
  <si>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</si>
  <si>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</si>
  <si>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</si>
  <si>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</si>
  <si>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</si>
  <si>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</si>
  <si>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</si>
  <si>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</si>
  <si>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</si>
  <si>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</si>
  <si>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</si>
  <si>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</si>
  <si>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</si>
  <si>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</si>
  <si>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</si>
  <si>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</si>
  <si>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</si>
  <si>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</si>
  <si>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</si>
  <si>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</si>
  <si>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</si>
  <si>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</si>
  <si>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</si>
  <si>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</si>
  <si>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</si>
  <si>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</si>
  <si>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</si>
  <si>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</si>
  <si>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</si>
  <si>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</si>
  <si>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</si>
  <si>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</si>
  <si>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</si>
  <si>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</si>
  <si>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</si>
  <si>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</si>
  <si>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</si>
  <si>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</si>
  <si>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</si>
  <si>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</si>
  <si>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</si>
  <si>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</si>
  <si>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</si>
  <si>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</si>
  <si>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</si>
  <si>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</si>
  <si>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</si>
  <si>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</si>
  <si>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</si>
  <si>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</si>
  <si>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</si>
  <si>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</si>
  <si>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</si>
  <si>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</si>
  <si>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</si>
  <si>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</si>
  <si>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</si>
  <si>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</si>
  <si>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</si>
  <si>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</si>
  <si>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</si>
  <si>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</si>
  <si>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</si>
  <si>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</si>
  <si>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</si>
  <si>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</si>
  <si>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</si>
  <si>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</si>
  <si>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</si>
  <si>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</si>
  <si>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</si>
  <si>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</si>
  <si>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</si>
  <si>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</si>
  <si>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</si>
  <si>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</si>
  <si>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</si>
  <si>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</si>
  <si>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</si>
  <si>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</si>
  <si>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</si>
  <si>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</si>
  <si>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</si>
  <si>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</si>
  <si>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</si>
  <si>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</si>
  <si>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</si>
  <si>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</si>
  <si>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</si>
  <si>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</si>
  <si>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</si>
  <si>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</si>
  <si>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</si>
  <si>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</si>
  <si>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</si>
  <si>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</si>
  <si>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</si>
  <si>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</si>
  <si>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</si>
  <si>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</si>
  <si>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</si>
  <si>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</si>
  <si>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</si>
  <si>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</si>
  <si>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</si>
  <si>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</si>
  <si>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</si>
  <si>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</si>
  <si>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</si>
  <si>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</si>
  <si>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</si>
  <si>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</si>
  <si>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</si>
  <si>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</si>
  <si>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</si>
  <si>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</si>
  <si>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</si>
  <si>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</si>
  <si>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</si>
  <si>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</si>
  <si>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</si>
  <si>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</si>
  <si>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</si>
  <si>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</si>
  <si>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</si>
  <si>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</si>
  <si>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</si>
  <si>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</si>
  <si>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</si>
  <si>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</si>
  <si>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</si>
  <si>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</si>
  <si>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</si>
  <si>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</si>
  <si>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</si>
  <si>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</si>
  <si>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</si>
  <si>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</si>
  <si>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</si>
  <si>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</si>
  <si>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</si>
  <si>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</si>
  <si>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</si>
  <si>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</si>
  <si>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</si>
  <si>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</si>
  <si>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</si>
  <si>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</si>
  <si>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</si>
  <si>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</si>
  <si>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</si>
  <si>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</si>
  <si>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</si>
  <si>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</si>
  <si>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</si>
  <si>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</si>
  <si>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</si>
  <si>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</si>
  <si>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</si>
  <si>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</si>
  <si>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</si>
  <si>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</si>
  <si>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</si>
  <si>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</si>
  <si>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</si>
  <si>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</si>
  <si>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</si>
  <si>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</si>
  <si>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</si>
  <si>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</si>
  <si>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</si>
  <si>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</si>
  <si>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</si>
  <si>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</si>
  <si>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</si>
  <si>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</si>
  <si>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</si>
  <si>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</si>
  <si>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</si>
  <si>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</si>
  <si>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</si>
  <si>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</si>
  <si>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</si>
  <si>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</si>
  <si>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</si>
  <si>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</si>
  <si>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</si>
  <si>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</si>
  <si>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</si>
  <si>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</si>
  <si>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</si>
  <si>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</si>
  <si>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</si>
  <si>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</si>
  <si>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</si>
  <si>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</si>
  <si>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</si>
  <si>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</si>
  <si>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</si>
  <si>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</si>
  <si>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</si>
  <si>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</si>
  <si>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</si>
  <si>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</si>
  <si>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</si>
  <si>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</si>
  <si>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</si>
  <si>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</si>
  <si>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</si>
  <si>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</si>
  <si>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</si>
  <si>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</si>
  <si>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</si>
  <si>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</si>
  <si>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</si>
  <si>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</si>
  <si>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</si>
  <si>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</si>
  <si>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</si>
  <si>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</si>
  <si>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</si>
  <si>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</si>
  <si>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</si>
  <si>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</si>
  <si>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</si>
  <si>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</si>
  <si>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</si>
  <si>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</si>
  <si>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</si>
  <si>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</si>
  <si>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</si>
  <si>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</si>
  <si>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</si>
  <si>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</si>
  <si>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</si>
  <si>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</si>
  <si>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</si>
  <si>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</si>
  <si>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</si>
  <si>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</si>
  <si>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</si>
  <si>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</si>
  <si>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</si>
  <si>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</si>
  <si>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</si>
  <si>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</si>
  <si>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</si>
  <si>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</si>
  <si>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</si>
  <si>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</si>
  <si>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</si>
  <si>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</si>
  <si>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</si>
  <si>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</si>
  <si>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</si>
  <si>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</si>
  <si>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</si>
  <si>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</si>
  <si>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</si>
  <si>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</si>
  <si>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</si>
  <si>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</si>
  <si>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</si>
  <si>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</si>
  <si>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</si>
  <si>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</si>
  <si>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</si>
  <si>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</si>
  <si>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</si>
  <si>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</si>
  <si>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</si>
  <si>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</si>
  <si>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</si>
  <si>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</si>
  <si>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</si>
  <si>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</si>
  <si>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</si>
  <si>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</si>
  <si>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</si>
  <si>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</si>
  <si>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</si>
  <si>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</si>
  <si>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</si>
  <si>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</si>
  <si>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</si>
  <si>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</si>
  <si>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</si>
  <si>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</si>
  <si>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</si>
  <si>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</si>
  <si>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</si>
  <si>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</si>
  <si>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</si>
  <si>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</si>
  <si>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</si>
  <si>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</si>
  <si>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</si>
  <si>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</si>
  <si>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</si>
  <si>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</si>
  <si>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</si>
  <si>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</si>
  <si>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</si>
  <si>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</si>
  <si>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</si>
  <si>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</si>
  <si>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</si>
  <si>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</si>
  <si>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</si>
  <si>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</si>
  <si>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</si>
  <si>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</si>
  <si>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</si>
  <si>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</si>
  <si>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</si>
  <si>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</si>
  <si>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</si>
  <si>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</si>
  <si>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</si>
  <si>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</si>
  <si>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</si>
  <si>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</si>
  <si>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</si>
  <si>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</si>
  <si>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</si>
  <si>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</si>
  <si>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</si>
  <si>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</si>
  <si>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</si>
  <si>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</si>
  <si>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</si>
  <si>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</si>
  <si>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</si>
  <si>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</si>
  <si>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</si>
  <si>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</si>
  <si>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</si>
  <si>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</si>
  <si>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</si>
  <si>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</si>
  <si>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</si>
  <si>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</si>
  <si>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</si>
  <si>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</si>
  <si>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</si>
  <si>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</si>
  <si>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</si>
  <si>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</si>
  <si>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</si>
  <si>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</si>
  <si>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</si>
  <si>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</si>
  <si>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</si>
  <si>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</si>
  <si>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</si>
  <si>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</si>
  <si>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</si>
  <si>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</si>
  <si>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</si>
  <si>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</si>
  <si>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</si>
  <si>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</si>
  <si>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</si>
  <si>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</si>
  <si>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</si>
  <si>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</si>
  <si>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</si>
  <si>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</si>
  <si>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</si>
  <si>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</si>
  <si>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</si>
  <si>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</si>
  <si>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</si>
  <si>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</si>
  <si>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</si>
  <si>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</si>
  <si>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</si>
  <si>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</si>
  <si>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</si>
  <si>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</si>
  <si>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</si>
  <si>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</si>
  <si>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</si>
  <si>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</si>
  <si>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</si>
  <si>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</si>
  <si>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</si>
  <si>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</si>
  <si>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</si>
  <si>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</si>
  <si>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</si>
  <si>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</si>
  <si>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</si>
  <si>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</si>
  <si>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</si>
  <si>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</si>
  <si>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</si>
  <si>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</si>
  <si>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</si>
  <si>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</si>
  <si>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</si>
  <si>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</si>
  <si>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</si>
  <si>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</si>
  <si>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</si>
  <si>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</si>
  <si>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</si>
  <si>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</si>
  <si>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</si>
  <si>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</si>
  <si>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</si>
  <si>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</si>
  <si>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</si>
  <si>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</si>
  <si>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</si>
  <si>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</si>
  <si>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</si>
  <si>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</si>
  <si>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</si>
  <si>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</si>
  <si>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</si>
  <si>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</si>
  <si>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</si>
  <si>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</si>
  <si>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</si>
  <si>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</si>
  <si>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</si>
  <si>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</si>
  <si>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</si>
  <si>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</si>
  <si>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</si>
  <si>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</si>
  <si>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</si>
  <si>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</si>
  <si>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</si>
  <si>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</si>
  <si>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</si>
  <si>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</si>
  <si>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</si>
  <si>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</si>
  <si>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</si>
  <si>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</si>
  <si>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</si>
  <si>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</si>
  <si>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</si>
  <si>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</si>
  <si>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</si>
  <si>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</si>
  <si>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</si>
  <si>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</si>
  <si>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</si>
  <si>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</si>
  <si>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</si>
  <si>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</si>
  <si>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</si>
  <si>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</si>
  <si>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</si>
  <si>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</si>
  <si>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</si>
  <si>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</si>
  <si>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</si>
  <si>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</si>
  <si>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</si>
  <si>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</si>
  <si>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</si>
  <si>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</si>
  <si>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</si>
  <si>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</si>
  <si>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</si>
  <si>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</si>
  <si>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</si>
  <si>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</si>
  <si>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</si>
  <si>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</si>
  <si>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</si>
  <si>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</si>
  <si>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</si>
  <si>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</si>
  <si>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</si>
  <si>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</si>
  <si>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</si>
  <si>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</si>
  <si>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</si>
  <si>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</si>
  <si>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</si>
  <si>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</si>
  <si>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</si>
  <si>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</si>
  <si>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</si>
  <si>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</si>
  <si>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</si>
  <si>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</si>
  <si>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</si>
  <si>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</si>
  <si>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</si>
  <si>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</si>
  <si>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</si>
  <si>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</si>
  <si>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</si>
  <si>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</si>
  <si>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</si>
  <si>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</si>
  <si>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</si>
  <si>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</si>
  <si>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</si>
  <si>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</si>
  <si>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</si>
  <si>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</si>
  <si>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</si>
  <si>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</si>
  <si>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</si>
  <si>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</si>
  <si>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</si>
  <si>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</si>
  <si>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</si>
  <si>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</si>
  <si>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</si>
  <si>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</si>
  <si>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</si>
  <si>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</si>
  <si>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</si>
  <si>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</si>
  <si>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</si>
  <si>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</si>
  <si>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</si>
  <si>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</si>
  <si>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</si>
  <si>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</si>
  <si>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</si>
  <si>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</si>
  <si>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</si>
  <si>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</si>
  <si>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</si>
  <si>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</si>
  <si>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</si>
  <si>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</si>
  <si>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</si>
  <si>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</si>
  <si>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</si>
  <si>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</si>
  <si>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</si>
  <si>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</si>
  <si>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</si>
  <si>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</si>
  <si>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</si>
  <si>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</si>
  <si>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</si>
  <si>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</si>
  <si>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</si>
  <si>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</si>
  <si>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</si>
  <si>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</si>
  <si>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</si>
  <si>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</si>
  <si>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</si>
  <si>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</si>
  <si>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</si>
  <si>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</si>
  <si>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</si>
  <si>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</si>
  <si>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</si>
  <si>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</si>
  <si>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</si>
  <si>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</si>
  <si>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</si>
  <si>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</si>
  <si>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</si>
  <si>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</si>
  <si>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</si>
  <si>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</si>
  <si>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</si>
  <si>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</si>
  <si>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</si>
  <si>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</si>
  <si>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</si>
  <si>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</si>
  <si>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</si>
  <si>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</si>
  <si>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</si>
  <si>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</si>
  <si>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</si>
  <si>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</si>
  <si>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</si>
  <si>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</si>
  <si>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</si>
  <si>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</si>
  <si>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</si>
  <si>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</si>
  <si>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</si>
  <si>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</si>
  <si>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</si>
  <si>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</si>
  <si>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</si>
  <si>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</si>
  <si>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</si>
  <si>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</si>
  <si>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</si>
  <si>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</si>
  <si>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</si>
  <si>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</si>
  <si>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</si>
  <si>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</si>
  <si>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</si>
  <si>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</si>
  <si>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</si>
  <si>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</si>
  <si>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</si>
  <si>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</si>
  <si>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</si>
  <si>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</si>
  <si>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</si>
  <si>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</si>
  <si>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</si>
  <si>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</si>
  <si>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</si>
  <si>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</si>
  <si>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</si>
  <si>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</si>
  <si>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</si>
  <si>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</si>
  <si>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</si>
  <si>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</si>
  <si>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</si>
  <si>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</si>
  <si>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</si>
  <si>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</si>
  <si>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</si>
  <si>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</si>
  <si>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</si>
  <si>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</si>
  <si>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</si>
  <si>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</si>
  <si>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</si>
  <si>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</si>
  <si>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</si>
  <si>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</si>
  <si>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</si>
  <si>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</si>
  <si>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</si>
  <si>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</si>
  <si>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</si>
  <si>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</si>
  <si>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</si>
  <si>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</si>
  <si>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</si>
  <si>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</si>
  <si>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</si>
  <si>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</si>
  <si>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</si>
  <si>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</si>
  <si>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</si>
  <si>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</si>
  <si>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</si>
  <si>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</si>
  <si>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</si>
  <si>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</si>
  <si>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</si>
  <si>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</si>
  <si>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</si>
  <si>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</si>
  <si>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</si>
  <si>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</si>
  <si>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</si>
  <si>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</si>
  <si>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</si>
  <si>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</si>
  <si>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</si>
  <si>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</si>
  <si>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</si>
  <si>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</si>
  <si>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</si>
  <si>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</si>
  <si>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</si>
  <si>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</si>
  <si>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</si>
  <si>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</si>
  <si>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</si>
  <si>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</si>
  <si>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</si>
  <si>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</si>
  <si>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</si>
  <si>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</si>
  <si>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</si>
  <si>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</si>
  <si>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</si>
  <si>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</si>
  <si>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</si>
  <si>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</si>
  <si>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</si>
  <si>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</si>
  <si>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</si>
  <si>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</si>
  <si>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</si>
  <si>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</si>
  <si>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</si>
  <si>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</si>
  <si>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</si>
  <si>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</si>
  <si>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</si>
  <si>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</si>
  <si>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</si>
  <si>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</si>
  <si>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</si>
  <si>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</si>
  <si>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</si>
  <si>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</si>
  <si>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</si>
  <si>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</si>
  <si>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</si>
  <si>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</si>
  <si>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</si>
  <si>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</si>
  <si>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</si>
  <si>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</si>
  <si>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</si>
  <si>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</si>
  <si>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</si>
  <si>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</si>
  <si>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</si>
  <si>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</si>
  <si>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</si>
  <si>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</si>
  <si>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</si>
  <si>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</si>
  <si>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</si>
  <si>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</si>
  <si>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</si>
  <si>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</si>
  <si>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</si>
  <si>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</si>
  <si>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</si>
  <si>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</si>
  <si>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</si>
  <si>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</si>
  <si>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</si>
  <si>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</si>
  <si>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</si>
  <si>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</si>
  <si>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</si>
  <si>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</si>
  <si>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</si>
  <si>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</si>
  <si>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</si>
  <si>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</si>
  <si>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</si>
  <si>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</si>
  <si>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</si>
  <si>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</si>
  <si>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</si>
  <si>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</si>
  <si>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</si>
  <si>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</si>
  <si>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</si>
  <si>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</si>
  <si>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</si>
  <si>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</si>
  <si>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</si>
  <si>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</si>
  <si>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</si>
  <si>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</si>
  <si>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</si>
  <si>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</si>
  <si>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</si>
  <si>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</si>
  <si>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</si>
  <si>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</si>
  <si>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</si>
  <si>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</si>
  <si>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</si>
  <si>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</si>
  <si>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</si>
  <si>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</si>
  <si>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</si>
  <si>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</si>
  <si>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</si>
  <si>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</si>
  <si>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</si>
  <si>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</si>
  <si>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</si>
  <si>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</si>
  <si>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</si>
  <si>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</si>
  <si>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</si>
  <si>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</si>
  <si>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</si>
  <si>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</si>
  <si>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</si>
  <si>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</si>
  <si>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</si>
  <si>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</si>
  <si>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</si>
  <si>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</si>
  <si>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</si>
  <si>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</si>
  <si>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</si>
  <si>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</si>
  <si>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</si>
  <si>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</si>
  <si>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</si>
  <si>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</si>
  <si>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</si>
  <si>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</si>
  <si>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</si>
  <si>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</si>
  <si>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</si>
  <si>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</si>
  <si>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</si>
  <si>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</si>
  <si>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</si>
  <si>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</si>
  <si>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</si>
  <si>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</si>
  <si>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</si>
  <si>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</si>
  <si>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</si>
  <si>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</si>
  <si>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</si>
  <si>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</si>
  <si>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</si>
  <si>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</si>
  <si>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</si>
  <si>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</si>
  <si>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</si>
  <si>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</si>
  <si>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</si>
  <si>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</si>
  <si>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</si>
  <si>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</si>
  <si>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</si>
  <si>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</si>
  <si>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</si>
  <si>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</si>
  <si>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</si>
  <si>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</si>
  <si>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</si>
  <si>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</si>
  <si>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</si>
  <si>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</si>
  <si>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</si>
  <si>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</si>
  <si>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</si>
  <si>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</si>
  <si>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</si>
  <si>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</si>
  <si>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</si>
  <si>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</si>
  <si>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</si>
  <si>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</si>
  <si>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</si>
  <si>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</si>
  <si>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</si>
  <si>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</si>
  <si>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</si>
  <si>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</si>
  <si>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</si>
  <si>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</si>
  <si>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</si>
  <si>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</si>
  <si>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</si>
  <si>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</si>
  <si>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</si>
  <si>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</si>
  <si>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</si>
  <si>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</si>
  <si>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</si>
  <si>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</si>
  <si>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</si>
  <si>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</si>
  <si>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</si>
  <si>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</si>
  <si>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</si>
  <si>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</si>
  <si>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</si>
  <si>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</si>
  <si>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</si>
  <si>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</si>
  <si>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</si>
  <si>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</si>
  <si>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</si>
  <si>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</si>
  <si>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</si>
  <si>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</si>
  <si>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</si>
  <si>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</si>
  <si>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</si>
  <si>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</si>
  <si>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</si>
  <si>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</si>
  <si>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</si>
  <si>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</si>
  <si>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</si>
  <si>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</si>
  <si>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</si>
  <si>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</si>
  <si>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</si>
  <si>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</si>
  <si>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</si>
  <si>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</si>
  <si>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</si>
  <si>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</si>
  <si>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</si>
  <si>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</si>
  <si>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</si>
  <si>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</si>
  <si>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</si>
  <si>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</si>
  <si>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</si>
  <si>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</si>
  <si>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</si>
  <si>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</si>
  <si>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</si>
  <si>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</si>
  <si>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</si>
  <si>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</si>
  <si>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</si>
  <si>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</si>
  <si>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</si>
  <si>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</si>
  <si>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</si>
  <si>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</si>
  <si>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</si>
  <si>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</si>
  <si>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</si>
  <si>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</si>
  <si>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</si>
  <si>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</si>
  <si>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</si>
  <si>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</si>
  <si>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</si>
  <si>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</si>
  <si>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</si>
  <si>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</si>
  <si>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</si>
  <si>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</si>
  <si>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</si>
  <si>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</si>
  <si>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</si>
  <si>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</si>
  <si>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</si>
  <si>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</si>
  <si>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</si>
  <si>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</si>
  <si>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</si>
  <si>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</si>
  <si>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</si>
  <si>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</si>
  <si>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</si>
  <si>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</si>
  <si>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</si>
  <si>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</si>
  <si>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</si>
  <si>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</si>
  <si>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</si>
  <si>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</si>
  <si>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</si>
  <si>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</si>
  <si>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</si>
  <si>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</si>
  <si>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</si>
  <si>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</si>
  <si>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</si>
  <si>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</si>
  <si>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</si>
  <si>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</si>
  <si>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</si>
  <si>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</si>
  <si>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</si>
  <si>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</si>
  <si>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</si>
  <si>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</si>
  <si>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</si>
  <si>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</si>
  <si>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</si>
  <si>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</si>
  <si>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</si>
  <si>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</si>
  <si>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</si>
  <si>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</si>
  <si>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</si>
  <si>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</si>
  <si>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</si>
  <si>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</si>
  <si>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</si>
  <si>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</si>
  <si>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</si>
  <si>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</si>
  <si>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</si>
  <si>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</si>
  <si>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</si>
  <si>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</si>
  <si>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</si>
  <si>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</si>
  <si>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</si>
  <si>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</si>
  <si>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</si>
  <si>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</si>
  <si>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</si>
  <si>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</si>
  <si>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</si>
  <si>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</si>
  <si>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</si>
  <si>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</si>
  <si>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</si>
  <si>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</si>
  <si>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</si>
  <si>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</si>
  <si>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</si>
  <si>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</si>
  <si>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</si>
  <si>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</si>
  <si>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</si>
  <si>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</si>
  <si>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</si>
  <si>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</si>
  <si>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</si>
  <si>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</si>
  <si>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</si>
  <si>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</si>
  <si>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</si>
  <si>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</si>
  <si>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</si>
  <si>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</si>
  <si>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</si>
  <si>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</si>
  <si>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</si>
  <si>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</si>
  <si>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</si>
  <si>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</si>
  <si>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</si>
  <si>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</si>
  <si>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</si>
  <si>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</si>
  <si>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</si>
  <si>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</si>
  <si>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</si>
  <si>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</si>
  <si>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</si>
  <si>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</si>
  <si>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</si>
  <si>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</si>
  <si>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</si>
  <si>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</si>
  <si>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</si>
  <si>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</si>
  <si>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</si>
  <si>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</si>
  <si>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</si>
  <si>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</si>
  <si>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</si>
  <si>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</si>
  <si>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</si>
  <si>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</si>
  <si>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</si>
  <si>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</si>
  <si>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</si>
  <si>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</si>
  <si>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</si>
  <si>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</si>
  <si>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</si>
  <si>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</si>
  <si>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</si>
  <si>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</si>
  <si>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</si>
  <si>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</si>
  <si>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</si>
  <si>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</si>
  <si>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</si>
  <si>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</si>
  <si>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</si>
  <si>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</si>
  <si>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</si>
  <si>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</si>
  <si>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</si>
  <si>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</si>
  <si>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</si>
  <si>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</si>
  <si>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</si>
  <si>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</si>
  <si>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</si>
  <si>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</si>
  <si>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</si>
  <si>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</si>
  <si>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</si>
  <si>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</si>
  <si>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</si>
  <si>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</si>
  <si>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</si>
  <si>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</si>
  <si>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</si>
  <si>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</si>
  <si>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</si>
  <si>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</si>
  <si>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</si>
  <si>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</si>
  <si>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</si>
  <si>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</si>
  <si>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</si>
  <si>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</si>
  <si>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</si>
  <si>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</si>
  <si>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</si>
  <si>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</si>
  <si>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</si>
  <si>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</si>
  <si>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</si>
  <si>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</si>
  <si>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</si>
  <si>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</si>
  <si>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</si>
  <si>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</si>
  <si>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</si>
  <si>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</si>
  <si>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</si>
  <si>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</si>
  <si>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</si>
  <si>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</si>
  <si>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</si>
  <si>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</si>
  <si>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</si>
  <si>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</si>
  <si>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</si>
  <si>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</si>
  <si>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</si>
  <si>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</si>
  <si>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</si>
  <si>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</si>
  <si>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</si>
  <si>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</si>
  <si>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</si>
  <si>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</si>
  <si>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</si>
  <si>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</si>
  <si>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</si>
  <si>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</si>
  <si>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</si>
  <si>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</si>
  <si>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</si>
  <si>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</si>
  <si>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</si>
  <si>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</si>
  <si>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</si>
  <si>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</si>
  <si>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</si>
  <si>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</si>
  <si>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</si>
  <si>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</si>
  <si>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</si>
  <si>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</si>
  <si>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</si>
  <si>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</si>
  <si>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</si>
  <si>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</si>
  <si>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</si>
  <si>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</si>
  <si>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</si>
  <si>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</si>
  <si>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</si>
  <si>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</si>
  <si>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</si>
  <si>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</si>
  <si>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</si>
  <si>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</si>
  <si>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</si>
  <si>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</si>
  <si>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</si>
  <si>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</si>
  <si>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</si>
  <si>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</si>
  <si>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</si>
  <si>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</si>
  <si>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</si>
  <si>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</si>
  <si>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</si>
  <si>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</si>
  <si>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</si>
  <si>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</si>
  <si>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</si>
  <si>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</si>
  <si>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</si>
  <si>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</si>
  <si>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</si>
  <si>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</si>
  <si>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</si>
  <si>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</si>
  <si>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</si>
  <si>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</si>
  <si>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</si>
  <si>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</si>
  <si>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</si>
  <si>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</si>
  <si>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</si>
  <si>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</si>
  <si>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</si>
  <si>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</si>
  <si>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</si>
  <si>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</si>
  <si>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</si>
  <si>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</si>
  <si>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</si>
  <si>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</si>
  <si>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</si>
  <si>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</si>
  <si>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</si>
  <si>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</si>
  <si>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</si>
  <si>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</si>
  <si>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</si>
  <si>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</si>
  <si>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</si>
  <si>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</si>
  <si>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</si>
  <si>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</si>
  <si>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</si>
  <si>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</si>
  <si>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</si>
  <si>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</si>
  <si>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</si>
  <si>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</si>
  <si>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</si>
  <si>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</si>
  <si>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</si>
  <si>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</si>
  <si>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</si>
  <si>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</si>
  <si>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</si>
  <si>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</si>
  <si>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</si>
  <si>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</si>
  <si>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</si>
  <si>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</si>
  <si>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</si>
  <si>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</si>
  <si>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</si>
  <si>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</si>
  <si>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</si>
  <si>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</si>
  <si>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</si>
  <si>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</si>
  <si>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</si>
  <si>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</si>
  <si>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</si>
  <si>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</si>
  <si>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</si>
  <si>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</si>
  <si>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</si>
  <si>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</si>
  <si>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</si>
  <si>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</si>
  <si>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</si>
  <si>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</si>
  <si>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</si>
  <si>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</si>
  <si>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</si>
  <si>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</si>
  <si>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</si>
  <si>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</si>
  <si>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</si>
  <si>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</si>
  <si>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</si>
  <si>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</si>
  <si>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</si>
  <si>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</si>
  <si>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</si>
  <si>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</si>
  <si>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</si>
  <si>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</si>
  <si>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</si>
  <si>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</si>
  <si>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</si>
  <si>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</si>
  <si>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</si>
  <si>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</si>
  <si>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</si>
  <si>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</si>
  <si>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</si>
  <si>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</si>
  <si>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</si>
  <si>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</si>
  <si>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</si>
  <si>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</si>
  <si>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</si>
  <si>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</si>
  <si>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</si>
  <si>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</si>
  <si>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</si>
  <si>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</si>
  <si>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</si>
  <si>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</si>
  <si>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</si>
  <si>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</si>
  <si>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</si>
  <si>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</si>
  <si>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</si>
  <si>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</si>
  <si>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</si>
  <si>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</si>
  <si>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</si>
  <si>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</si>
  <si>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</si>
  <si>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</si>
  <si>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</si>
  <si>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</si>
  <si>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</si>
  <si>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</si>
  <si>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</si>
  <si>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</si>
  <si>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</si>
  <si>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</si>
  <si>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</si>
  <si>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</si>
  <si>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</si>
  <si>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</si>
  <si>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</si>
  <si>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</si>
  <si>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</si>
  <si>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</si>
  <si>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</si>
  <si>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</si>
  <si>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</si>
  <si>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</si>
  <si>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</si>
  <si>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</si>
  <si>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</si>
  <si>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</si>
  <si>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</si>
  <si>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</si>
  <si>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</si>
  <si>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</si>
  <si>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</si>
  <si>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</si>
  <si>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</si>
  <si>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</si>
  <si>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</si>
  <si>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</si>
  <si>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</si>
  <si>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</si>
  <si>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</si>
  <si>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</si>
  <si>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</si>
  <si>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</si>
  <si>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</si>
  <si>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</si>
  <si>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</si>
  <si>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</si>
  <si>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</si>
  <si>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</si>
  <si>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</si>
  <si>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</si>
  <si>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</si>
  <si>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</si>
  <si>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</si>
  <si>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</si>
  <si>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</si>
  <si>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</si>
  <si>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</si>
  <si>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</si>
  <si>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</si>
  <si>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</si>
  <si>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</si>
  <si>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</si>
  <si>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</si>
  <si>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</si>
  <si>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</si>
  <si>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</si>
  <si>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</si>
  <si>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</si>
  <si>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</si>
  <si>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</si>
  <si>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</si>
  <si>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</si>
  <si>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</si>
  <si>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</si>
  <si>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</si>
  <si>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</si>
  <si>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</si>
  <si>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</si>
  <si>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</si>
  <si>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</si>
  <si>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</si>
  <si>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</si>
  <si>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</si>
  <si>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</si>
  <si>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</si>
  <si>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</si>
  <si>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</si>
  <si>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</si>
  <si>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</si>
  <si>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</si>
  <si>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</si>
  <si>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</si>
  <si>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</si>
  <si>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</si>
  <si>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</si>
  <si>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</si>
  <si>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</si>
  <si>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</si>
  <si>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</si>
  <si>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</si>
  <si>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</si>
  <si>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</si>
  <si>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</si>
  <si>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</si>
  <si>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</si>
  <si>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</si>
  <si>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</si>
  <si>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</si>
  <si>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</si>
  <si>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</si>
  <si>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</si>
  <si>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</si>
  <si>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</si>
  <si>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</si>
  <si>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</si>
  <si>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</si>
  <si>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</si>
  <si>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</si>
  <si>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</si>
  <si>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</si>
  <si>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</si>
  <si>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</si>
  <si>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</si>
  <si>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</si>
  <si>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</si>
  <si>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</si>
  <si>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</si>
  <si>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</si>
  <si>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</si>
  <si>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</si>
  <si>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</si>
  <si>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</si>
  <si>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</si>
  <si>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</si>
  <si>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</si>
  <si>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</si>
  <si>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</si>
  <si>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</si>
  <si>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</si>
  <si>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</si>
  <si>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</si>
  <si>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</si>
  <si>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</si>
  <si>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</si>
  <si>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</si>
  <si>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</si>
  <si>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</si>
  <si>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</si>
  <si>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</si>
  <si>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</si>
  <si>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</si>
  <si>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</si>
  <si>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</si>
  <si>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</si>
  <si>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</si>
  <si>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</si>
  <si>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</si>
  <si>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</si>
  <si>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</si>
  <si>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</si>
  <si>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</si>
  <si>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</si>
  <si>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</si>
  <si>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</si>
  <si>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</si>
  <si>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</si>
  <si>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</si>
  <si>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</si>
  <si>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</si>
  <si>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</si>
  <si>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</si>
  <si>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</si>
  <si>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</si>
  <si>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</si>
  <si>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</si>
  <si>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</si>
  <si>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</si>
  <si>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</si>
  <si>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</si>
  <si>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</si>
  <si>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</si>
  <si>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</si>
  <si>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</si>
  <si>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</si>
  <si>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</si>
  <si>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</si>
  <si>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</si>
  <si>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</si>
  <si>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</si>
  <si>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</si>
  <si>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</si>
  <si>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</si>
  <si>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</si>
  <si>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</si>
  <si>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</si>
  <si>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</si>
  <si>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</si>
  <si>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</si>
  <si>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</si>
  <si>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</si>
  <si>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</si>
  <si>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</si>
  <si>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</si>
  <si>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</si>
  <si>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</si>
  <si>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</si>
  <si>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</si>
  <si>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</si>
  <si>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</si>
  <si>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</si>
  <si>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</si>
  <si>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</si>
  <si>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</si>
  <si>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</si>
  <si>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</si>
  <si>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</si>
  <si>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</si>
  <si>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</si>
  <si>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</si>
  <si>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</si>
  <si>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</si>
  <si>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</si>
  <si>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</si>
  <si>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</si>
  <si>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</si>
  <si>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</si>
  <si>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</si>
  <si>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</si>
  <si>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</si>
  <si>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</si>
  <si>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</si>
  <si>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</si>
  <si>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</si>
  <si>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</si>
  <si>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</si>
  <si>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</si>
  <si>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</si>
  <si>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</si>
  <si>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</si>
  <si>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</si>
  <si>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</si>
  <si>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</si>
  <si>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</si>
  <si>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</si>
  <si>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</si>
  <si>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</si>
  <si>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</si>
  <si>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</si>
  <si>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</si>
  <si>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</si>
  <si>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</si>
  <si>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</si>
  <si>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</si>
  <si>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</si>
  <si>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</si>
  <si>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</si>
  <si>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</si>
  <si>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</si>
  <si>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</si>
  <si>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</si>
  <si>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</si>
  <si>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</si>
  <si>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</si>
  <si>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</si>
  <si>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</si>
  <si>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</si>
  <si>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</si>
  <si>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</si>
  <si>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</si>
  <si>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</si>
  <si>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</si>
  <si>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</si>
  <si>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</si>
  <si>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</si>
  <si>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</si>
  <si>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</si>
  <si>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</si>
  <si>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</si>
  <si>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</si>
  <si>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</si>
  <si>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</si>
  <si>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</si>
  <si>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</si>
  <si>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</si>
  <si>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</si>
  <si>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</si>
  <si>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</si>
  <si>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</si>
  <si>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</si>
  <si>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</si>
  <si>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</si>
  <si>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</si>
  <si>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</si>
  <si>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</si>
  <si>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</si>
  <si>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</si>
  <si>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</si>
  <si>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</si>
  <si>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</si>
  <si>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</si>
  <si>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</si>
  <si>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</si>
  <si>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</si>
  <si>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</si>
  <si>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</si>
  <si>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</si>
  <si>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</si>
  <si>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</si>
  <si>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</si>
  <si>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</si>
  <si>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</si>
  <si>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</si>
  <si>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</si>
  <si>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</si>
  <si>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</si>
  <si>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</si>
  <si>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</si>
  <si>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</si>
  <si>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</si>
  <si>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</si>
  <si>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</si>
  <si>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</si>
  <si>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</si>
  <si>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</si>
  <si>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</si>
  <si>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</si>
  <si>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</si>
  <si>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</si>
  <si>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</si>
  <si>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</si>
  <si>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</si>
  <si>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</si>
  <si>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</si>
  <si>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</si>
  <si>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</si>
  <si>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</si>
  <si>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</si>
  <si>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</si>
  <si>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</si>
  <si>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</si>
  <si>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</si>
  <si>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</si>
  <si>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</si>
  <si>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</si>
  <si>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</si>
  <si>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</si>
  <si>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</si>
  <si>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</si>
  <si>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</si>
  <si>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</si>
  <si>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</si>
  <si>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</si>
  <si>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</si>
  <si>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</si>
  <si>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</si>
  <si>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</si>
  <si>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</si>
  <si>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</si>
  <si>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</si>
  <si>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</si>
  <si>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</si>
  <si>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</si>
  <si>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</si>
  <si>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</si>
  <si>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</si>
  <si>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</si>
  <si>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</si>
  <si>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</si>
  <si>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</si>
  <si>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</si>
  <si>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</si>
  <si>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</si>
  <si>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</si>
  <si>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</si>
  <si>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</si>
  <si>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</si>
  <si>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</si>
  <si>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</si>
  <si>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</si>
  <si>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</si>
  <si>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</si>
  <si>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</si>
  <si>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</si>
  <si>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</si>
  <si>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</si>
  <si>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</si>
  <si>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</si>
  <si>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</si>
  <si>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</si>
  <si>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</si>
  <si>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</si>
  <si>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</si>
  <si>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</si>
  <si>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</si>
  <si>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</si>
  <si>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</si>
  <si>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</si>
  <si>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</si>
  <si>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</si>
  <si>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</si>
  <si>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</si>
  <si>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</si>
  <si>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</si>
  <si>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</si>
  <si>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</si>
  <si>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</si>
  <si>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</si>
  <si>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</si>
  <si>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</si>
  <si>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</si>
  <si>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</si>
  <si>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</si>
  <si>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</si>
  <si>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</si>
  <si>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</si>
  <si>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</si>
  <si>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</si>
  <si>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</si>
  <si>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</si>
  <si>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</si>
  <si>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</si>
  <si>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</si>
  <si>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</si>
  <si>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</si>
  <si>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</si>
  <si>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</si>
  <si>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</si>
  <si>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</si>
  <si>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</si>
  <si>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</si>
  <si>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</si>
  <si>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</si>
  <si>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</si>
  <si>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</si>
  <si>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</si>
  <si>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</si>
  <si>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</si>
  <si>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</si>
  <si>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</si>
  <si>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</si>
  <si>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</si>
  <si>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</si>
  <si>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</si>
  <si>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</si>
  <si>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</si>
  <si>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</si>
  <si>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</si>
  <si>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</si>
  <si>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</si>
  <si>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</si>
  <si>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</si>
  <si>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</si>
  <si>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</si>
  <si>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</si>
  <si>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</si>
  <si>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</si>
  <si>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</si>
  <si>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</si>
  <si>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</si>
  <si>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</si>
  <si>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</si>
  <si>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</si>
  <si>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</si>
  <si>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</si>
  <si>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</si>
  <si>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</si>
  <si>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</si>
  <si>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</si>
  <si>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</si>
  <si>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</si>
  <si>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</si>
  <si>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</si>
  <si>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</si>
  <si>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</si>
  <si>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</si>
  <si>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</si>
  <si>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</si>
  <si>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</si>
  <si>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</si>
  <si>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</si>
  <si>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</si>
  <si>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</si>
  <si>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</si>
  <si>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</si>
  <si>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</si>
  <si>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</si>
  <si>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</si>
  <si>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</si>
  <si>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</si>
  <si>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</si>
  <si>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</si>
  <si>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</si>
  <si>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</si>
  <si>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</si>
  <si>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</si>
  <si>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</si>
  <si>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</si>
  <si>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</si>
  <si>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</si>
  <si>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</si>
  <si>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</si>
  <si>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</si>
  <si>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</si>
  <si>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</si>
  <si>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</si>
  <si>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</si>
  <si>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</si>
  <si>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</si>
  <si>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</si>
  <si>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</si>
  <si>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</si>
  <si>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</si>
  <si>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</si>
  <si>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</si>
  <si>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</si>
  <si>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</si>
  <si>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</si>
  <si>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</si>
  <si>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</si>
  <si>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</si>
  <si>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</si>
  <si>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</si>
  <si>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</si>
  <si>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</si>
  <si>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</si>
  <si>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</si>
  <si>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</si>
  <si>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</si>
  <si>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</si>
  <si>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</si>
  <si>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</si>
  <si>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</si>
  <si>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</si>
  <si>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</si>
  <si>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</si>
  <si>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</si>
  <si>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</si>
  <si>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</si>
  <si>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</si>
  <si>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</si>
  <si>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</si>
  <si>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</si>
  <si>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</si>
  <si>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</si>
  <si>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</si>
  <si>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</si>
  <si>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</si>
  <si>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</si>
  <si>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</si>
  <si>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</si>
  <si>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</si>
  <si>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</si>
  <si>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</si>
  <si>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</si>
  <si>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</si>
  <si>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</si>
  <si>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</si>
  <si>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</si>
  <si>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</si>
  <si>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</si>
  <si>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</si>
  <si>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</si>
  <si>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</si>
  <si>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</si>
  <si>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</si>
  <si>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</si>
  <si>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</si>
  <si>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</si>
  <si>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</si>
  <si>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</si>
  <si>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</si>
  <si>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</si>
  <si>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</si>
  <si>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</si>
  <si>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</si>
  <si>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</si>
  <si>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</si>
  <si>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</si>
  <si>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</si>
  <si>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</si>
  <si>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</si>
  <si>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</si>
  <si>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</si>
  <si>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</si>
  <si>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</si>
  <si>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</si>
  <si>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</si>
  <si>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</si>
  <si>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</si>
  <si>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</si>
  <si>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</si>
  <si>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</si>
  <si>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</si>
  <si>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</si>
  <si>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</si>
  <si>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</si>
  <si>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</si>
  <si>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</si>
  <si>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</si>
  <si>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</si>
  <si>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</si>
  <si>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</si>
  <si>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</si>
  <si>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</si>
  <si>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</si>
  <si>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</si>
  <si>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</si>
  <si>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</si>
  <si>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</si>
  <si>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</si>
  <si>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</si>
  <si>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</si>
  <si>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</si>
  <si>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</si>
  <si>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</si>
  <si>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</si>
  <si>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</si>
  <si>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</si>
  <si>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</si>
  <si>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</si>
  <si>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</si>
  <si>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</si>
  <si>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</si>
  <si>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</si>
  <si>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</si>
  <si>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</si>
  <si>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</si>
  <si>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</si>
  <si>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</si>
  <si>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</si>
  <si>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</si>
  <si>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</si>
  <si>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</si>
  <si>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</si>
  <si>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</si>
  <si>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</si>
  <si>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</si>
  <si>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</si>
  <si>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</si>
  <si>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</si>
  <si>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</si>
  <si>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</si>
  <si>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</si>
  <si>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</si>
  <si>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</si>
  <si>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</si>
  <si>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</si>
  <si>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</si>
  <si>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</si>
  <si>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</si>
  <si>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</si>
  <si>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</si>
  <si>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</si>
  <si>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</si>
  <si>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</si>
  <si>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</si>
  <si>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</si>
  <si>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</si>
  <si>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</si>
  <si>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</si>
  <si>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</si>
  <si>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</si>
  <si>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</si>
  <si>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</si>
  <si>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</si>
  <si>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</si>
  <si>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</si>
  <si>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</si>
  <si>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</si>
  <si>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</si>
  <si>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</si>
  <si>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</si>
  <si>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</si>
  <si>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</si>
  <si>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</si>
  <si>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</si>
  <si>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</si>
  <si>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</si>
  <si>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</si>
  <si>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</si>
  <si>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</si>
  <si>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</si>
  <si>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</si>
  <si>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</si>
  <si>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</si>
  <si>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</si>
  <si>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</si>
  <si>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</si>
  <si>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</si>
  <si>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</si>
  <si>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</si>
  <si>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</si>
  <si>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</si>
  <si>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</si>
  <si>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</si>
  <si>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</si>
  <si>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</si>
  <si>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</si>
  <si>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</si>
  <si>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</si>
  <si>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</si>
  <si>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</si>
  <si>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</si>
  <si>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</si>
  <si>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</si>
  <si>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</si>
  <si>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</si>
  <si>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</si>
  <si>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</si>
  <si>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</si>
  <si>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</si>
  <si>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</si>
  <si>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</si>
  <si>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</si>
  <si>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</si>
  <si>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</si>
  <si>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</si>
  <si>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</si>
  <si>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</si>
  <si>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</si>
  <si>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</si>
  <si>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</si>
  <si>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</si>
  <si>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</si>
  <si>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</si>
  <si>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</si>
  <si>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</si>
  <si>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</si>
  <si>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</si>
  <si>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</si>
  <si>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</si>
  <si>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</si>
  <si>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</si>
  <si>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</si>
  <si>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</si>
  <si>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</si>
  <si>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</si>
  <si>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</si>
  <si>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</si>
  <si>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</si>
  <si>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</si>
  <si>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</si>
  <si>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</si>
  <si>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</si>
  <si>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</si>
  <si>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</si>
  <si>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</si>
  <si>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</si>
  <si>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</si>
  <si>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</si>
  <si>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</si>
  <si>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</si>
  <si>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</si>
  <si>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</si>
  <si>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</si>
  <si>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</si>
  <si>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</si>
  <si>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</si>
  <si>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</si>
  <si>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</si>
  <si>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</si>
  <si>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</si>
  <si>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</si>
  <si>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</si>
  <si>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</si>
  <si>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</si>
  <si>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</si>
  <si>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</si>
  <si>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</si>
  <si>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</si>
  <si>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</si>
  <si>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</si>
  <si>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</si>
  <si>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</si>
  <si>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</si>
  <si>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</si>
  <si>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</si>
  <si>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</si>
  <si>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</si>
  <si>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</si>
  <si>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</si>
  <si>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</si>
  <si>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</si>
  <si>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</si>
  <si>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</si>
  <si>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</si>
  <si>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</si>
  <si>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</si>
  <si>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</si>
  <si>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</si>
  <si>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</si>
  <si>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</si>
  <si>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</si>
  <si>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</si>
  <si>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</si>
  <si>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</si>
  <si>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</si>
  <si>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</si>
  <si>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</si>
  <si>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</si>
  <si>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</si>
  <si>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</si>
  <si>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</si>
  <si>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</si>
  <si>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</si>
  <si>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</si>
  <si>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</si>
  <si>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</si>
  <si>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</si>
  <si>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</si>
  <si>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</si>
  <si>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</si>
  <si>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</si>
  <si>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</si>
  <si>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</si>
  <si>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</si>
  <si>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</si>
  <si>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</si>
  <si>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</si>
  <si>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</si>
  <si>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</si>
  <si>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</si>
  <si>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</si>
  <si>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</si>
  <si>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</si>
  <si>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</si>
  <si>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</si>
  <si>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</si>
  <si>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</si>
  <si>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</si>
  <si>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</si>
  <si>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</si>
  <si>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</si>
  <si>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</si>
  <si>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</si>
  <si>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</si>
  <si>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</si>
  <si>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</si>
  <si>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</si>
  <si>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</si>
  <si>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</si>
  <si>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</si>
  <si>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</si>
  <si>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</si>
  <si>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</si>
  <si>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</si>
  <si>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</si>
  <si>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</si>
  <si>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</si>
  <si>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</si>
  <si>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</si>
  <si>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</si>
  <si>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</si>
  <si>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</si>
  <si>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</si>
  <si>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</si>
  <si>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</si>
  <si>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</si>
  <si>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</si>
  <si>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</si>
  <si>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</si>
  <si>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</si>
  <si>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</si>
  <si>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</si>
  <si>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</si>
  <si>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</si>
  <si>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</si>
  <si>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</si>
  <si>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</si>
  <si>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</si>
  <si>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</si>
  <si>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</si>
  <si>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</si>
  <si>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</si>
  <si>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</si>
  <si>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</si>
  <si>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</si>
  <si>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</si>
  <si>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</si>
  <si>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</si>
  <si>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</si>
  <si>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</si>
  <si>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</si>
  <si>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</si>
  <si>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</si>
  <si>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</si>
  <si>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</si>
  <si>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</si>
  <si>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</si>
  <si>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</si>
  <si>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</si>
  <si>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</si>
  <si>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</si>
  <si>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</si>
  <si>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</si>
  <si>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</si>
  <si>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</si>
  <si>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</si>
  <si>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</si>
  <si>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</si>
  <si>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</si>
  <si>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</si>
  <si>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</si>
  <si>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</si>
  <si>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</si>
  <si>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</si>
  <si>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</si>
  <si>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</si>
  <si>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</si>
  <si>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</si>
  <si>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</si>
  <si>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</si>
  <si>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</si>
  <si>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</si>
  <si>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</si>
  <si>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</si>
  <si>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</si>
  <si>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</si>
  <si>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</si>
  <si>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</si>
  <si>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</si>
  <si>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</si>
  <si>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</si>
  <si>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</si>
  <si>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</si>
  <si>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</si>
  <si>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</si>
  <si>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</si>
  <si>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</si>
  <si>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</si>
  <si>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</si>
  <si>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</si>
  <si>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</si>
  <si>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</si>
  <si>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</si>
  <si>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</si>
  <si>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</si>
  <si>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</si>
  <si>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</si>
  <si>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</si>
  <si>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</si>
  <si>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</si>
  <si>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</si>
  <si>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</si>
  <si>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</si>
  <si>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</si>
  <si>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</si>
  <si>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</si>
  <si>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</si>
  <si>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</si>
  <si>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</si>
  <si>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</si>
  <si>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</si>
  <si>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</si>
  <si>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</si>
  <si>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</si>
  <si>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</si>
  <si>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</si>
  <si>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</si>
  <si>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</si>
  <si>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</si>
  <si>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</si>
  <si>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</si>
  <si>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</si>
  <si>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</si>
  <si>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</si>
  <si>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</si>
  <si>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</si>
  <si>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</si>
  <si>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</si>
  <si>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</si>
  <si>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</si>
  <si>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</si>
  <si>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</si>
  <si>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</si>
  <si>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</si>
  <si>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</si>
  <si>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</si>
  <si>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</si>
  <si>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</si>
  <si>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</si>
  <si>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</si>
  <si>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</si>
  <si>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</si>
  <si>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</si>
  <si>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</si>
  <si>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</si>
  <si>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</si>
  <si>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</si>
  <si>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</si>
  <si>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</si>
  <si>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</si>
  <si>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</si>
  <si>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</si>
  <si>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</si>
  <si>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</si>
  <si>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</si>
  <si>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</si>
  <si>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</si>
  <si>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</si>
  <si>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</si>
  <si>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</si>
  <si>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</si>
  <si>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</si>
  <si>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</si>
  <si>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</si>
  <si>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</si>
  <si>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</si>
  <si>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</si>
  <si>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</si>
  <si>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</si>
  <si>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</si>
  <si>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</si>
  <si>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</si>
  <si>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</si>
  <si>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</si>
  <si>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</si>
  <si>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</si>
  <si>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</si>
  <si>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</si>
  <si>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</si>
  <si>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</si>
  <si>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Costo de Ventas 1</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</si>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</sst>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10"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9">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9" fillId="0" borderId="0" xfId="0" applyFont="1" applyAlignment="1">
      <alignment horizontal="left" vertical="center"/>
    </xf>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329">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0" formatCode="General"/>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twoCellAnchor>
    <xdr:from>
      <xdr:col>8</xdr:col>
      <xdr:colOff>38100</xdr:colOff>
      <xdr:row>24</xdr:row>
      <xdr:rowOff>38100</xdr:rowOff>
    </xdr:from>
    <xdr:to>
      <xdr:col>12</xdr:col>
      <xdr:colOff>685800</xdr:colOff>
      <xdr:row>27</xdr:row>
      <xdr:rowOff>28575</xdr:rowOff>
    </xdr:to>
    <xdr:sp macro="" textlink="">
      <xdr:nvSpPr>
        <xdr:cNvPr id="4" name="Rectángulo: esquinas redondeadas 3">
          <a:extLst>
            <a:ext uri="{FF2B5EF4-FFF2-40B4-BE49-F238E27FC236}">
              <a16:creationId xmlns:a16="http://schemas.microsoft.com/office/drawing/2014/main" id="{79139BC8-BC4F-423E-8FF0-06FAE5771FC0}"/>
            </a:ext>
          </a:extLst>
        </xdr:cNvPr>
        <xdr:cNvSpPr/>
      </xdr:nvSpPr>
      <xdr:spPr>
        <a:xfrm>
          <a:off x="6324600" y="3657600"/>
          <a:ext cx="60388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Compra a credito de 15 unidades  a $14,000.00 FRA 2125 Belleza sol LTDA</a:t>
          </a:r>
          <a:endParaRPr lang="es-CO" sz="1400"/>
        </a:p>
      </xdr:txBody>
    </xdr:sp>
    <xdr:clientData/>
  </xdr:twoCellAnchor>
  <xdr:twoCellAnchor>
    <xdr:from>
      <xdr:col>8</xdr:col>
      <xdr:colOff>0</xdr:colOff>
      <xdr:row>40</xdr:row>
      <xdr:rowOff>0</xdr:rowOff>
    </xdr:from>
    <xdr:to>
      <xdr:col>12</xdr:col>
      <xdr:colOff>647700</xdr:colOff>
      <xdr:row>42</xdr:row>
      <xdr:rowOff>180975</xdr:rowOff>
    </xdr:to>
    <xdr:sp macro="" textlink="">
      <xdr:nvSpPr>
        <xdr:cNvPr id="5" name="Rectángulo: esquinas redondeadas 4">
          <a:extLst>
            <a:ext uri="{FF2B5EF4-FFF2-40B4-BE49-F238E27FC236}">
              <a16:creationId xmlns:a16="http://schemas.microsoft.com/office/drawing/2014/main" id="{9A402C81-5A60-423C-B4A6-8CF394897980}"/>
            </a:ext>
          </a:extLst>
        </xdr:cNvPr>
        <xdr:cNvSpPr/>
      </xdr:nvSpPr>
      <xdr:spPr>
        <a:xfrm>
          <a:off x="6286500" y="666750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compra de la fra 2125 e 5 unidades</a:t>
          </a:r>
          <a:endParaRPr lang="es-CO" sz="1400"/>
        </a:p>
      </xdr:txBody>
    </xdr:sp>
    <xdr:clientData/>
  </xdr:twoCellAnchor>
  <xdr:twoCellAnchor>
    <xdr:from>
      <xdr:col>7</xdr:col>
      <xdr:colOff>752475</xdr:colOff>
      <xdr:row>54</xdr:row>
      <xdr:rowOff>40272</xdr:rowOff>
    </xdr:from>
    <xdr:to>
      <xdr:col>12</xdr:col>
      <xdr:colOff>638175</xdr:colOff>
      <xdr:row>57</xdr:row>
      <xdr:rowOff>30748</xdr:rowOff>
    </xdr:to>
    <xdr:sp macro="" textlink="">
      <xdr:nvSpPr>
        <xdr:cNvPr id="6" name="Rectángulo: esquinas redondeadas 5">
          <a:extLst>
            <a:ext uri="{FF2B5EF4-FFF2-40B4-BE49-F238E27FC236}">
              <a16:creationId xmlns:a16="http://schemas.microsoft.com/office/drawing/2014/main" id="{07964643-D8BB-4854-8552-28D9392CBE5E}"/>
            </a:ext>
          </a:extLst>
        </xdr:cNvPr>
        <xdr:cNvSpPr/>
      </xdr:nvSpPr>
      <xdr:spPr>
        <a:xfrm>
          <a:off x="6300370" y="9966325"/>
          <a:ext cx="8558463" cy="54192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Venta factura No 681 Por 25 unidades </a:t>
          </a:r>
          <a:endParaRPr lang="es-CO" sz="1400"/>
        </a:p>
      </xdr:txBody>
    </xdr:sp>
    <xdr:clientData/>
  </xdr:twoCellAnchor>
  <xdr:twoCellAnchor>
    <xdr:from>
      <xdr:col>8</xdr:col>
      <xdr:colOff>0</xdr:colOff>
      <xdr:row>71</xdr:row>
      <xdr:rowOff>95250</xdr:rowOff>
    </xdr:from>
    <xdr:to>
      <xdr:col>12</xdr:col>
      <xdr:colOff>647700</xdr:colOff>
      <xdr:row>74</xdr:row>
      <xdr:rowOff>85725</xdr:rowOff>
    </xdr:to>
    <xdr:sp macro="" textlink="">
      <xdr:nvSpPr>
        <xdr:cNvPr id="7" name="Rectángulo: esquinas redondeadas 6">
          <a:extLst>
            <a:ext uri="{FF2B5EF4-FFF2-40B4-BE49-F238E27FC236}">
              <a16:creationId xmlns:a16="http://schemas.microsoft.com/office/drawing/2014/main" id="{3C9C6D85-5AAC-421A-A9BC-DB3B9B55A2BB}"/>
            </a:ext>
          </a:extLst>
        </xdr:cNvPr>
        <xdr:cNvSpPr/>
      </xdr:nvSpPr>
      <xdr:spPr>
        <a:xfrm>
          <a:off x="6286500" y="1266825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Costo de venta</a:t>
          </a:r>
          <a:endParaRPr lang="es-CO" sz="1400"/>
        </a:p>
      </xdr:txBody>
    </xdr:sp>
    <xdr:clientData/>
  </xdr:twoCellAnchor>
  <xdr:twoCellAnchor>
    <xdr:from>
      <xdr:col>8</xdr:col>
      <xdr:colOff>0</xdr:colOff>
      <xdr:row>86</xdr:row>
      <xdr:rowOff>0</xdr:rowOff>
    </xdr:from>
    <xdr:to>
      <xdr:col>12</xdr:col>
      <xdr:colOff>647700</xdr:colOff>
      <xdr:row>88</xdr:row>
      <xdr:rowOff>180975</xdr:rowOff>
    </xdr:to>
    <xdr:sp macro="" textlink="">
      <xdr:nvSpPr>
        <xdr:cNvPr id="8" name="Rectángulo: esquinas redondeadas 7">
          <a:extLst>
            <a:ext uri="{FF2B5EF4-FFF2-40B4-BE49-F238E27FC236}">
              <a16:creationId xmlns:a16="http://schemas.microsoft.com/office/drawing/2014/main" id="{81BD8B8B-BE9C-4DEA-A16A-4E970C200268}"/>
            </a:ext>
          </a:extLst>
        </xdr:cNvPr>
        <xdr:cNvSpPr/>
      </xdr:nvSpPr>
      <xdr:spPr>
        <a:xfrm>
          <a:off x="6286500" y="15640050"/>
          <a:ext cx="7734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de la factura 654 por 5 unidades</a:t>
          </a:r>
          <a:endParaRPr lang="es-CO" sz="1400"/>
        </a:p>
      </xdr:txBody>
    </xdr:sp>
    <xdr:clientData/>
  </xdr:twoCellAnchor>
  <xdr:twoCellAnchor>
    <xdr:from>
      <xdr:col>8</xdr:col>
      <xdr:colOff>0</xdr:colOff>
      <xdr:row>101</xdr:row>
      <xdr:rowOff>0</xdr:rowOff>
    </xdr:from>
    <xdr:to>
      <xdr:col>12</xdr:col>
      <xdr:colOff>647700</xdr:colOff>
      <xdr:row>103</xdr:row>
      <xdr:rowOff>180975</xdr:rowOff>
    </xdr:to>
    <xdr:sp macro="" textlink="">
      <xdr:nvSpPr>
        <xdr:cNvPr id="9" name="Rectángulo: esquinas redondeadas 8">
          <a:extLst>
            <a:ext uri="{FF2B5EF4-FFF2-40B4-BE49-F238E27FC236}">
              <a16:creationId xmlns:a16="http://schemas.microsoft.com/office/drawing/2014/main" id="{56C82A9F-9C52-4A8F-936A-60B7C559674C}"/>
            </a:ext>
          </a:extLst>
        </xdr:cNvPr>
        <xdr:cNvSpPr/>
      </xdr:nvSpPr>
      <xdr:spPr>
        <a:xfrm>
          <a:off x="6286500" y="18792825"/>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FRA 654, 5 UNIDADES</a:t>
          </a:r>
        </a:p>
        <a:p>
          <a:pPr algn="l"/>
          <a:endParaRPr lang="es-CO" sz="1400"/>
        </a:p>
      </xdr:txBody>
    </xdr:sp>
    <xdr:clientData/>
  </xdr:twoCellAnchor>
  <xdr:twoCellAnchor>
    <xdr:from>
      <xdr:col>8</xdr:col>
      <xdr:colOff>0</xdr:colOff>
      <xdr:row>120</xdr:row>
      <xdr:rowOff>0</xdr:rowOff>
    </xdr:from>
    <xdr:to>
      <xdr:col>12</xdr:col>
      <xdr:colOff>647700</xdr:colOff>
      <xdr:row>122</xdr:row>
      <xdr:rowOff>180975</xdr:rowOff>
    </xdr:to>
    <xdr:sp macro="" textlink="">
      <xdr:nvSpPr>
        <xdr:cNvPr id="11" name="Rectángulo: esquinas redondeadas 10">
          <a:extLst>
            <a:ext uri="{FF2B5EF4-FFF2-40B4-BE49-F238E27FC236}">
              <a16:creationId xmlns:a16="http://schemas.microsoft.com/office/drawing/2014/main" id="{D993164E-D4B9-4A18-8E82-337D511AEA79}"/>
            </a:ext>
          </a:extLst>
        </xdr:cNvPr>
        <xdr:cNvSpPr/>
      </xdr:nvSpPr>
      <xdr:spPr>
        <a:xfrm>
          <a:off x="6286500" y="2310765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t>Registro</a:t>
          </a:r>
          <a:r>
            <a:rPr lang="es-CO" sz="1400" baseline="0"/>
            <a:t> costo de ventas FRA 654 7/04/2024</a:t>
          </a:r>
          <a:endParaRPr lang="es-CO" sz="1400"/>
        </a:p>
      </xdr:txBody>
    </xdr:sp>
    <xdr:clientData/>
  </xdr:twoCellAnchor>
  <xdr:twoCellAnchor>
    <xdr:from>
      <xdr:col>8</xdr:col>
      <xdr:colOff>9525</xdr:colOff>
      <xdr:row>136</xdr:row>
      <xdr:rowOff>180975</xdr:rowOff>
    </xdr:from>
    <xdr:to>
      <xdr:col>12</xdr:col>
      <xdr:colOff>657225</xdr:colOff>
      <xdr:row>140</xdr:row>
      <xdr:rowOff>171450</xdr:rowOff>
    </xdr:to>
    <xdr:sp macro="" textlink="">
      <xdr:nvSpPr>
        <xdr:cNvPr id="13" name="Rectángulo: esquinas redondeadas 12">
          <a:extLst>
            <a:ext uri="{FF2B5EF4-FFF2-40B4-BE49-F238E27FC236}">
              <a16:creationId xmlns:a16="http://schemas.microsoft.com/office/drawing/2014/main" id="{6CDB3AB3-4D08-4E92-95E6-EFFBDF853078}"/>
            </a:ext>
          </a:extLst>
        </xdr:cNvPr>
        <xdr:cNvSpPr/>
      </xdr:nvSpPr>
      <xdr:spPr>
        <a:xfrm>
          <a:off x="6296025" y="2588895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t>Registro</a:t>
          </a:r>
          <a:r>
            <a:rPr lang="es-CO" sz="1400" baseline="0"/>
            <a:t> costo de ventas FRA 681 25/04/2024</a:t>
          </a:r>
          <a:endParaRPr lang="es-CO" sz="1400"/>
        </a:p>
      </xdr:txBody>
    </xdr:sp>
    <xdr:clientData/>
  </xdr:twoCellAnchor>
  <xdr:twoCellAnchor>
    <xdr:from>
      <xdr:col>8</xdr:col>
      <xdr:colOff>0</xdr:colOff>
      <xdr:row>151</xdr:row>
      <xdr:rowOff>0</xdr:rowOff>
    </xdr:from>
    <xdr:to>
      <xdr:col>12</xdr:col>
      <xdr:colOff>647700</xdr:colOff>
      <xdr:row>153</xdr:row>
      <xdr:rowOff>180975</xdr:rowOff>
    </xdr:to>
    <xdr:sp macro="" textlink="">
      <xdr:nvSpPr>
        <xdr:cNvPr id="14" name="Rectángulo: esquinas redondeadas 13">
          <a:extLst>
            <a:ext uri="{FF2B5EF4-FFF2-40B4-BE49-F238E27FC236}">
              <a16:creationId xmlns:a16="http://schemas.microsoft.com/office/drawing/2014/main" id="{8FCA422E-36A6-4F09-9347-2B1792A1F974}"/>
            </a:ext>
          </a:extLst>
        </xdr:cNvPr>
        <xdr:cNvSpPr/>
      </xdr:nvSpPr>
      <xdr:spPr>
        <a:xfrm>
          <a:off x="6286500" y="28498800"/>
          <a:ext cx="855345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aseline="0"/>
            <a:t>Devolucion en venta FRA 654 30/04/2024</a:t>
          </a:r>
          <a:endParaRPr lang="es-CO" sz="14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328">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327" totalsRowDxfId="326"/>
    <tableColumn id="4" xr3:uid="{A8C3DCB1-A1AA-4F29-AB1E-0A2E682C3530}" name="Cantidad" totalsRowFunction="sum" dataDxfId="325" totalsRowDxfId="324"/>
    <tableColumn id="5" xr3:uid="{614B29C1-F3BF-4DF9-904D-94721E98CBEC}" name="Dcto." totalsRowFunction="sum" dataDxfId="323" totalsRowDxfId="322"/>
    <tableColumn id="6" xr3:uid="{5F152225-0439-4330-A9A1-E874E7F9AFC3}" name="IVA %" totalsRowFunction="sum" dataDxfId="321" totalsRowDxfId="320"/>
    <tableColumn id="7" xr3:uid="{3B53B34F-4EAA-4944-9CED-32BC39517FAB}" name="Valor total" totalsRowFunction="sum" dataDxfId="319" totalsRowDxfId="318"/>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317" totalsRowDxfId="316"/>
    <tableColumn id="4" xr3:uid="{334E5B37-F36E-4327-A1A1-871F7172D729}" name="Cantidad" totalsRowFunction="sum" dataDxfId="315" totalsRowDxfId="314"/>
    <tableColumn id="5" xr3:uid="{C8E09F96-E344-4397-A22C-842F27212EB7}" name="% Ganancia"/>
    <tableColumn id="6" xr3:uid="{4785F2DB-38BC-4DAD-B87E-948CB98343E5}" name="Valor total" totalsRowFunction="sum" dataDxfId="313" totalsRowDxfId="312">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310"/>
    <tableColumn id="4" xr3:uid="{566487BE-7A8F-479C-BC98-6CE36583601D}" name="Debe" totalsRowFunction="sum" dataDxfId="309" totalsRowDxfId="308"/>
    <tableColumn id="5" xr3:uid="{0FDDDE24-7D3E-40D9-A7CF-C1ABAD690151}" name="Haber" totalsRowFunction="sum" dataDxfId="307" totalsRowDxfId="3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305" totalsRowDxfId="304"/>
    <tableColumn id="7" xr3:uid="{876CB599-EEB3-45DF-9CFA-4DB44A3B52AC}" name="IVA" totalsRowFunction="sum" dataDxfId="303" totalsRowDxfId="302"/>
    <tableColumn id="8" xr3:uid="{42FB424A-7513-4114-876B-F0B2EDBF4CD2}" name="Valor con IVA" totalsRowFunction="sum" dataDxfId="301" totalsRowDxfId="3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99" totalsRowDxfId="298"/>
    <tableColumn id="3" xr3:uid="{71B39168-8F5B-47CF-9237-6F6FC655C0B9}" name="Valor" totalsRowFunction="sum" dataDxfId="297" totalsRowDxfId="29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95" totalsRowDxfId="294"/>
    <tableColumn id="3" xr3:uid="{0461D468-C8E3-4599-951F-F7946A646CCE}" name="Valor" totalsRowFunction="sum" dataDxfId="293" totalsRowDxfId="29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91" totalsRowDxfId="290"/>
    <tableColumn id="4" xr3:uid="{B45669F8-9524-44A4-A62E-8950B2BA2222}" name="Debe" totalsRowFunction="sum" dataDxfId="289" totalsRowDxfId="288"/>
    <tableColumn id="5" xr3:uid="{D708AA91-103B-44B4-8E9C-257B6509A4BC}" name="Haber" totalsRowFunction="sum" dataDxfId="287" totalsRowDxfId="2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311" totalsRowDxfId="6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A511F316-466B-461E-85C8-129263F32D03}" name="tbl_registro_mayor_1" displayName="tbl_registro_mayor_1" ref="A4:E6" insertRow="1" totalsRowCount="1">
  <autoFilter ref="A4:E5" xr:uid="{A511F316-466B-461E-85C8-129263F32D03}">
    <filterColumn colId="0" hiddenButton="1"/>
    <filterColumn colId="1" hiddenButton="1"/>
    <filterColumn colId="2" hiddenButton="1"/>
    <filterColumn colId="3" hiddenButton="1"/>
    <filterColumn colId="4" hiddenButton="1"/>
  </autoFilter>
  <tableColumns count="5">
    <tableColumn id="1" xr3:uid="{9D20DD87-868E-4AD9-93BB-B6CA3611FD3B}" name="Codigo" totalsRowLabel="Total"/>
    <tableColumn id="2" xr3:uid="{C54AAEFE-F252-4C09-84BB-20B27E27C7D1}" name="Cuenta"/>
    <tableColumn id="3" xr3:uid="{D1DAC83E-8D06-47E2-BE5C-E6E031F88DA8}" name="Parcial"/>
    <tableColumn id="4" xr3:uid="{A15B83F1-3B4C-4228-BAEE-A8358D553862}" name="Debe" totalsRowFunction="sum" dataDxfId="62" totalsRowDxfId="63"/>
    <tableColumn id="5" xr3:uid="{1B0E0F83-6E0F-493E-9ACB-EDEE0ED010AB}" name="Haber" totalsRowFunction="sum" dataDxfId="61" totalsRowDxfId="6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F1670E1-5D1C-41F3-A687-F0C26B919031}" name="tbl_registro_mayor_2" displayName="tbl_registro_mayor_2" ref="A8:E10" insertRow="1" totalsRowCount="1">
  <autoFilter ref="A8:E9" xr:uid="{1F1670E1-5D1C-41F3-A687-F0C26B919031}">
    <filterColumn colId="0" hiddenButton="1"/>
    <filterColumn colId="1" hiddenButton="1"/>
    <filterColumn colId="2" hiddenButton="1"/>
    <filterColumn colId="3" hiddenButton="1"/>
    <filterColumn colId="4" hiddenButton="1"/>
  </autoFilter>
  <tableColumns count="5">
    <tableColumn id="1" xr3:uid="{513DFDD6-6E36-4A86-B8E0-C852C30425F6}" name="Codigo" totalsRowLabel="Total"/>
    <tableColumn id="2" xr3:uid="{376A9C77-3C40-4EF7-A8D4-428A99C477C8}" name="Cuenta"/>
    <tableColumn id="3" xr3:uid="{E299A961-4BA3-4E2A-AE22-E2EF1EB1F210}" name="Parcial"/>
    <tableColumn id="4" xr3:uid="{1100DB0A-D3FF-4E8B-BB40-E2E57AE75EB4}" name="Debe" totalsRowFunction="sum" dataDxfId="58" totalsRowDxfId="59"/>
    <tableColumn id="5" xr3:uid="{82BC821C-42C3-453D-BB73-FA6F2DBFEE66}" name="Haber" totalsRowFunction="sum" dataDxfId="57" totalsRowDxfId="5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8E4C873A-8AF8-46A0-ABE2-AD481C94BDA7}" name="tbl_registro_mayor_3" displayName="tbl_registro_mayor_3" ref="A12:E14" insertRow="1" totalsRowCount="1">
  <autoFilter ref="A12:E13" xr:uid="{8E4C873A-8AF8-46A0-ABE2-AD481C94BDA7}">
    <filterColumn colId="0" hiddenButton="1"/>
    <filterColumn colId="1" hiddenButton="1"/>
    <filterColumn colId="2" hiddenButton="1"/>
    <filterColumn colId="3" hiddenButton="1"/>
    <filterColumn colId="4" hiddenButton="1"/>
  </autoFilter>
  <tableColumns count="5">
    <tableColumn id="1" xr3:uid="{9DF2E836-6E1A-4026-A68B-A773F07D49A9}" name="Codigo" totalsRowLabel="Total"/>
    <tableColumn id="2" xr3:uid="{AB9867A1-144A-4AB7-996C-61CF08B4E2E2}" name="Cuenta"/>
    <tableColumn id="3" xr3:uid="{F3B6DEFC-7BD8-46B3-A04A-8A8A2317051B}" name="Parcial"/>
    <tableColumn id="4" xr3:uid="{2FE02110-228F-4D02-970E-AAD12B62F9A2}" name="Debe" totalsRowFunction="sum" dataDxfId="54" totalsRowDxfId="55"/>
    <tableColumn id="5" xr3:uid="{46A3110E-C4DA-4DB6-A0FD-73B40367D194}" name="Haber" totalsRowFunction="sum" dataDxfId="53" totalsRowDxfId="5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5CAB207F-DFC4-43CD-91D2-478993820A0C}" name="tbl_registro_mayor_4" displayName="tbl_registro_mayor_4" ref="A16:E18" insertRow="1" totalsRowCount="1">
  <autoFilter ref="A16:E17" xr:uid="{5CAB207F-DFC4-43CD-91D2-478993820A0C}">
    <filterColumn colId="0" hiddenButton="1"/>
    <filterColumn colId="1" hiddenButton="1"/>
    <filterColumn colId="2" hiddenButton="1"/>
    <filterColumn colId="3" hiddenButton="1"/>
    <filterColumn colId="4" hiddenButton="1"/>
  </autoFilter>
  <tableColumns count="5">
    <tableColumn id="1" xr3:uid="{0FE37DA1-E252-4A7B-A06B-ED7D4CF53836}" name="Codigo" totalsRowLabel="Total"/>
    <tableColumn id="2" xr3:uid="{FA397DB7-7A5C-4A9E-99FC-06BF9EE490BE}" name="Cuenta"/>
    <tableColumn id="3" xr3:uid="{29D3BBBA-9B83-4535-B9A6-728392C6B11A}" name="Parcial"/>
    <tableColumn id="4" xr3:uid="{4F7D2AB1-4125-4DDD-8847-32CEC0653F99}" name="Debe" totalsRowFunction="sum" dataDxfId="50" totalsRowDxfId="51"/>
    <tableColumn id="5" xr3:uid="{4E980921-B81F-4A8E-A976-8DA76DD5186A}" name="Haber" totalsRowFunction="sum" dataDxfId="49" totalsRowDxfId="4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8440FB5-1BD9-41F8-8694-438454758D60}" name="tbl_registro_mayor_5" displayName="tbl_registro_mayor_5" ref="A20:E22" insertRow="1" totalsRowCount="1">
  <autoFilter ref="A20:E21" xr:uid="{98440FB5-1BD9-41F8-8694-438454758D60}">
    <filterColumn colId="0" hiddenButton="1"/>
    <filterColumn colId="1" hiddenButton="1"/>
    <filterColumn colId="2" hiddenButton="1"/>
    <filterColumn colId="3" hiddenButton="1"/>
    <filterColumn colId="4" hiddenButton="1"/>
  </autoFilter>
  <tableColumns count="5">
    <tableColumn id="1" xr3:uid="{84645D57-68D2-4497-89BB-F93E262D66E4}" name="Codigo" totalsRowLabel="Total"/>
    <tableColumn id="2" xr3:uid="{5D7890D1-1471-4948-8EF1-51A5A0C5A162}" name="Cuenta"/>
    <tableColumn id="3" xr3:uid="{CB79A05F-1A10-4084-8AC4-E547F75DF524}" name="Parcial"/>
    <tableColumn id="4" xr3:uid="{5B3D4418-51BB-4DB1-BA22-6BEC4B35DC94}" name="Debe" totalsRowFunction="sum" dataDxfId="46" totalsRowDxfId="47"/>
    <tableColumn id="5" xr3:uid="{FE3ADADA-2F53-42AE-8868-1478120C8398}" name="Haber" totalsRowFunction="sum" dataDxfId="45" totalsRowDxfId="4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117FD118-4EB8-4DB4-987C-7DB52502214C}" name="tbl_registro_mayor_6" displayName="tbl_registro_mayor_6" ref="A24:E26" insertRow="1" totalsRowCount="1">
  <autoFilter ref="A24:E25" xr:uid="{117FD118-4EB8-4DB4-987C-7DB52502214C}">
    <filterColumn colId="0" hiddenButton="1"/>
    <filterColumn colId="1" hiddenButton="1"/>
    <filterColumn colId="2" hiddenButton="1"/>
    <filterColumn colId="3" hiddenButton="1"/>
    <filterColumn colId="4" hiddenButton="1"/>
  </autoFilter>
  <tableColumns count="5">
    <tableColumn id="1" xr3:uid="{0A0D381C-2CC7-4CB8-94D9-31720E655B9D}" name="Codigo" totalsRowLabel="Total"/>
    <tableColumn id="2" xr3:uid="{81A2C03C-86B2-48B2-BCC8-740BCFE747E6}" name="Cuenta"/>
    <tableColumn id="3" xr3:uid="{E906A996-2BF4-4CB2-8E97-9F5C5B9A0F62}" name="Parcial"/>
    <tableColumn id="4" xr3:uid="{970046D9-00EE-4C34-9E98-B2337935771D}" name="Debe" totalsRowFunction="sum" dataDxfId="42" totalsRowDxfId="43"/>
    <tableColumn id="5" xr3:uid="{64659408-15EE-47C1-BE1A-18165DD3E15E}" name="Haber" totalsRowFunction="sum" dataDxfId="41" totalsRowDxfId="4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6069676-4BF6-48E6-9BE0-1FF6464A7658}" name="tbl_registro_mayor_7" displayName="tbl_registro_mayor_7" ref="A28:E30" insertRow="1" totalsRowCount="1">
  <autoFilter ref="A28:E29" xr:uid="{B6069676-4BF6-48E6-9BE0-1FF6464A7658}">
    <filterColumn colId="0" hiddenButton="1"/>
    <filterColumn colId="1" hiddenButton="1"/>
    <filterColumn colId="2" hiddenButton="1"/>
    <filterColumn colId="3" hiddenButton="1"/>
    <filterColumn colId="4" hiddenButton="1"/>
  </autoFilter>
  <tableColumns count="5">
    <tableColumn id="1" xr3:uid="{59093F9B-AC80-4FCA-9EE0-7FC5735EAFAD}" name="Codigo" totalsRowLabel="Total"/>
    <tableColumn id="2" xr3:uid="{F8616F0D-C4C3-457A-8AE8-20CBFB9162A4}" name="Cuenta"/>
    <tableColumn id="3" xr3:uid="{61C2B81E-9487-4445-A110-4158242E0DE6}" name="Parcial"/>
    <tableColumn id="4" xr3:uid="{0F30832E-C143-4AEA-9AEB-E70BFC16E162}" name="Debe" totalsRowFunction="sum" dataDxfId="38" totalsRowDxfId="39"/>
    <tableColumn id="5" xr3:uid="{F379747E-8130-42BF-9CB3-EB3852029F8F}" name="Haber" totalsRowFunction="sum" dataDxfId="37" totalsRowDxfId="3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CF162B20-AC19-4F7D-AE09-359E8EDB8B0B}" name="tbl_registro_mayor_8" displayName="tbl_registro_mayor_8" ref="A32:E34" insertRow="1" totalsRowCount="1">
  <autoFilter ref="A32:E33" xr:uid="{CF162B20-AC19-4F7D-AE09-359E8EDB8B0B}">
    <filterColumn colId="0" hiddenButton="1"/>
    <filterColumn colId="1" hiddenButton="1"/>
    <filterColumn colId="2" hiddenButton="1"/>
    <filterColumn colId="3" hiddenButton="1"/>
    <filterColumn colId="4" hiddenButton="1"/>
  </autoFilter>
  <tableColumns count="5">
    <tableColumn id="1" xr3:uid="{F4D8B43C-B63D-40A8-B79E-0CAD40376653}" name="Codigo" totalsRowLabel="Total"/>
    <tableColumn id="2" xr3:uid="{DB50E04F-D327-4E68-B68D-200402D503F7}" name="Cuenta"/>
    <tableColumn id="3" xr3:uid="{4F2EFD47-9EDE-4591-AB3E-591EA264C5F4}" name="Parcial"/>
    <tableColumn id="4" xr3:uid="{1D27B255-3DD4-470E-A67C-63916F69E558}" name="Debe" totalsRowFunction="sum" dataDxfId="34" totalsRowDxfId="35"/>
    <tableColumn id="5" xr3:uid="{DEDFF6EA-11D9-4D4B-8FD9-93ACF2E29FB2}" name="Haber" totalsRowFunction="sum" dataDxfId="33" totalsRowDxfId="3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165638F0-C5BC-49C5-8D6A-522BECD0A0FD}" name="tbl_registro_mayor_9" displayName="tbl_registro_mayor_9" ref="A36:E38" insertRow="1" totalsRowCount="1">
  <autoFilter ref="A36:E37" xr:uid="{165638F0-C5BC-49C5-8D6A-522BECD0A0FD}">
    <filterColumn colId="0" hiddenButton="1"/>
    <filterColumn colId="1" hiddenButton="1"/>
    <filterColumn colId="2" hiddenButton="1"/>
    <filterColumn colId="3" hiddenButton="1"/>
    <filterColumn colId="4" hiddenButton="1"/>
  </autoFilter>
  <tableColumns count="5">
    <tableColumn id="1" xr3:uid="{183A2B70-8286-486D-A0DA-31F13F401507}" name="Codigo" totalsRowLabel="Total"/>
    <tableColumn id="2" xr3:uid="{DAC12246-87F0-4F6C-A605-9267FEA4237C}" name="Cuenta"/>
    <tableColumn id="3" xr3:uid="{9341A1C1-782C-4D5C-B147-BCA68279441E}" name="Parcial"/>
    <tableColumn id="4" xr3:uid="{7A2F89E8-3BD2-4BC3-8524-6B680E9976C2}" name="Debe" totalsRowFunction="sum" dataDxfId="30" totalsRowDxfId="31"/>
    <tableColumn id="5" xr3:uid="{C07F182D-8B62-4B00-A8DF-D6DB7542C42F}" name="Haber" totalsRowFunction="sum" dataDxfId="29" totalsRowDxfId="2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0FE78DB-CE0B-4B19-8800-360E73D4CE7A}" name="tbl_registro_mayor_10" displayName="tbl_registro_mayor_10" ref="A40:E42" insertRow="1" totalsRowCount="1">
  <autoFilter ref="A40:E41" xr:uid="{70FE78DB-CE0B-4B19-8800-360E73D4CE7A}">
    <filterColumn colId="0" hiddenButton="1"/>
    <filterColumn colId="1" hiddenButton="1"/>
    <filterColumn colId="2" hiddenButton="1"/>
    <filterColumn colId="3" hiddenButton="1"/>
    <filterColumn colId="4" hiddenButton="1"/>
  </autoFilter>
  <tableColumns count="5">
    <tableColumn id="1" xr3:uid="{584A55F2-0069-4C65-90FC-F0F23BAE7854}" name="Codigo" totalsRowLabel="Total"/>
    <tableColumn id="2" xr3:uid="{95CCCE2A-63C5-4354-BBF6-79E959D2CDEC}" name="Cuenta"/>
    <tableColumn id="3" xr3:uid="{50CBDF80-E50E-49B0-BB7A-0D328D03F14B}" name="Parcial"/>
    <tableColumn id="4" xr3:uid="{A9D6ABFD-C88F-4A8A-941C-BC4F6E213219}" name="Debe" totalsRowFunction="sum" dataDxfId="26" totalsRowDxfId="27"/>
    <tableColumn id="5" xr3:uid="{560FE52E-0E5C-45F9-94E7-0B9DA4FBE986}" name="Haber" totalsRowFunction="sum" dataDxfId="25" totalsRowDxfId="2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AF034F1D-7633-4023-A697-540FCAC65C81}" name="tbl_registro_mayor_11" displayName="tbl_registro_mayor_11" ref="A44:E46" insertRow="1" totalsRowCount="1">
  <autoFilter ref="A44:E45" xr:uid="{AF034F1D-7633-4023-A697-540FCAC65C81}">
    <filterColumn colId="0" hiddenButton="1"/>
    <filterColumn colId="1" hiddenButton="1"/>
    <filterColumn colId="2" hiddenButton="1"/>
    <filterColumn colId="3" hiddenButton="1"/>
    <filterColumn colId="4" hiddenButton="1"/>
  </autoFilter>
  <tableColumns count="5">
    <tableColumn id="1" xr3:uid="{B26A8460-6FCD-4EEC-8730-5C9F8C03E4AF}" name="Codigo" totalsRowLabel="Total"/>
    <tableColumn id="2" xr3:uid="{94DD9BB2-C56F-43BA-AB5D-6DF3BE290D55}" name="Cuenta"/>
    <tableColumn id="3" xr3:uid="{36D18C38-1549-4A4B-9FFA-659136AA9B38}" name="Parcial"/>
    <tableColumn id="4" xr3:uid="{88D7E628-8297-4326-A727-5CAF6A956EA8}" name="Debe" totalsRowFunction="sum" dataDxfId="22" totalsRowDxfId="23"/>
    <tableColumn id="5" xr3:uid="{AEC785CC-8940-4ACC-8D96-5BB1B060D272}" name="Haber" totalsRowFunction="sum" dataDxfId="21" totalsRowDxfId="2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193670C4-1B77-4698-92CF-51FC5CB79398}" name="tbl_registro_mayor_12" displayName="tbl_registro_mayor_12" ref="I125:M127" insertRow="1" totalsRowCount="1">
  <autoFilter ref="I125:M126" xr:uid="{193670C4-1B77-4698-92CF-51FC5CB79398}">
    <filterColumn colId="0" hiddenButton="1"/>
    <filterColumn colId="1" hiddenButton="1"/>
    <filterColumn colId="2" hiddenButton="1"/>
    <filterColumn colId="3" hiddenButton="1"/>
    <filterColumn colId="4" hiddenButton="1"/>
  </autoFilter>
  <tableColumns count="5">
    <tableColumn id="1" xr3:uid="{2295E816-C43E-4641-95F1-849CBD43177C}" name="Codigo" totalsRowLabel="Total"/>
    <tableColumn id="2" xr3:uid="{9331E449-3D5A-4932-A40D-0EF3517897C7}" name="Cuenta"/>
    <tableColumn id="3" xr3:uid="{CBBE4AAD-4F1E-4089-ADDA-33DE6C4F1782}" name="Parcial"/>
    <tableColumn id="4" xr3:uid="{01DF2D89-BF29-49AF-AEDF-3B55F5794D77}" name="Debe" totalsRowFunction="sum" dataDxfId="18" totalsRowDxfId="19"/>
    <tableColumn id="5" xr3:uid="{AD969F94-B88E-4635-84AC-DDA034F78A97}" name="Haber" totalsRowFunction="sum" dataDxfId="17" totalsRowDxfId="1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10984121-A6D0-4D65-AB79-0455A87A1589}" name="tbl_registro_mayor_13" displayName="tbl_registro_mayor_13" ref="I129:M131" insertRow="1" totalsRowCount="1">
  <autoFilter ref="I129:M130" xr:uid="{10984121-A6D0-4D65-AB79-0455A87A1589}">
    <filterColumn colId="0" hiddenButton="1"/>
    <filterColumn colId="1" hiddenButton="1"/>
    <filterColumn colId="2" hiddenButton="1"/>
    <filterColumn colId="3" hiddenButton="1"/>
    <filterColumn colId="4" hiddenButton="1"/>
  </autoFilter>
  <tableColumns count="5">
    <tableColumn id="1" xr3:uid="{F79F545C-4199-4A4D-8BF5-3FE54AEA1B35}" name="Codigo" totalsRowLabel="Total"/>
    <tableColumn id="2" xr3:uid="{686B159A-780F-43D3-B912-2BD94D91E263}" name="Cuenta"/>
    <tableColumn id="3" xr3:uid="{BC422DF4-406B-4D9C-8393-A8702D8ED78E}" name="Parcial"/>
    <tableColumn id="4" xr3:uid="{FF0139B5-80CA-4008-9828-EED7DF8E338D}" name="Debe" totalsRowFunction="sum" dataDxfId="14" totalsRowDxfId="15"/>
    <tableColumn id="5" xr3:uid="{70008B8C-71F3-4A9D-962C-06674FCC2448}" name="Haber" totalsRowFunction="sum" dataDxfId="13" totalsRow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E1C5E27-565B-4686-B58F-8CD49D1BA0B6}" name="tbl_registro_mayor_14" displayName="tbl_registro_mayor_14" ref="I133:M135" insertRow="1" totalsRowCount="1">
  <autoFilter ref="I133:M134" xr:uid="{4E1C5E27-565B-4686-B58F-8CD49D1BA0B6}">
    <filterColumn colId="0" hiddenButton="1"/>
    <filterColumn colId="1" hiddenButton="1"/>
    <filterColumn colId="2" hiddenButton="1"/>
    <filterColumn colId="3" hiddenButton="1"/>
    <filterColumn colId="4" hiddenButton="1"/>
  </autoFilter>
  <tableColumns count="5">
    <tableColumn id="1" xr3:uid="{F1777E15-71AC-4FCD-B089-9F2294753412}" name="Codigo" totalsRowLabel="Total"/>
    <tableColumn id="2" xr3:uid="{638DD0D3-9161-45C9-9996-55578B53E13C}" name="Cuenta"/>
    <tableColumn id="3" xr3:uid="{18D73B7C-ED8C-4620-AF7D-F6FA27BBD16C}" name="Parcial"/>
    <tableColumn id="4" xr3:uid="{5F7B22E3-44EB-48DC-A2EA-353DA76C1940}" name="Debe" totalsRowFunction="sum" dataDxfId="10" totalsRowDxfId="11"/>
    <tableColumn id="5" xr3:uid="{CA13526B-BE8F-4D96-BC56-C9DC8D828206}" name="Haber" totalsRowFunction="sum" dataDxfId="9" totalsRowDxfId="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E6C22971-2349-4B44-B4DA-1000DE67EC19}" name="tbl_registro_mayor_15" displayName="tbl_registro_mayor_15" ref="I137:M139" insertRow="1" totalsRowCount="1">
  <autoFilter ref="I137:M138" xr:uid="{E6C22971-2349-4B44-B4DA-1000DE67EC19}">
    <filterColumn colId="0" hiddenButton="1"/>
    <filterColumn colId="1" hiddenButton="1"/>
    <filterColumn colId="2" hiddenButton="1"/>
    <filterColumn colId="3" hiddenButton="1"/>
    <filterColumn colId="4" hiddenButton="1"/>
  </autoFilter>
  <tableColumns count="5">
    <tableColumn id="1" xr3:uid="{A7DB7A8D-325F-4579-8345-EA7B02D6AFB9}" name="Codigo" totalsRowLabel="Total"/>
    <tableColumn id="2" xr3:uid="{CBEB25CB-7A24-4FD6-930C-B3DCB28DA60D}" name="Cuenta"/>
    <tableColumn id="3" xr3:uid="{A9D2FC7F-2B1D-4348-8DAD-77523F512B42}" name="Parcial"/>
    <tableColumn id="4" xr3:uid="{6ABB7280-F66C-475F-9A18-BA8AE22F60B6}" name="Debe" totalsRowFunction="sum" dataDxfId="6" totalsRowDxfId="7"/>
    <tableColumn id="5" xr3:uid="{7BF260E7-12FD-4359-A330-B2E04EE8E3A8}" name="Haber" totalsRowFunction="sum" dataDxfId="5" totalsRowDxfId="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7A1C7866-7947-4F3C-814A-483488CC7E37}" name="tbl_registro_mayor_16" displayName="tbl_registro_mayor_16" ref="I162:M164" insertRow="1" totalsRowCount="1">
  <autoFilter ref="I162:M163" xr:uid="{7A1C7866-7947-4F3C-814A-483488CC7E37}">
    <filterColumn colId="0" hiddenButton="1"/>
    <filterColumn colId="1" hiddenButton="1"/>
    <filterColumn colId="2" hiddenButton="1"/>
    <filterColumn colId="3" hiddenButton="1"/>
    <filterColumn colId="4" hiddenButton="1"/>
  </autoFilter>
  <tableColumns count="5">
    <tableColumn id="1" xr3:uid="{053C65AB-DB41-4847-B3F0-21E06C74D1B6}" name="Codigo" totalsRowLabel="Total"/>
    <tableColumn id="2" xr3:uid="{17FA333D-C562-4FB6-B6A5-D4FB32CAC44A}" name="Cuenta"/>
    <tableColumn id="3" xr3:uid="{3717AC1E-89B2-454E-8313-54CEDDDDAEC5}" name="Parcial"/>
    <tableColumn id="4" xr3:uid="{4CF8889B-F118-4952-A320-43180A1A8474}" name="Debe" totalsRowFunction="sum" dataDxfId="2" totalsRowDxfId="3"/>
    <tableColumn id="5" xr3:uid="{A0893278-3597-457E-98B6-6F562B871E72}" name="Haber" totalsRowFunction="sum" dataDxfId="1" totalsRowDxfId="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85"/>
    <tableColumn id="5" xr3:uid="{9429A308-5036-4C32-9507-C5B26AB665B6}" name="Debe" totalsRowFunction="sum" dataDxfId="284" totalsRowDxfId="283"/>
    <tableColumn id="6" xr3:uid="{055351D5-5F7F-4D1E-998C-342FCF670354}" name="Haber" totalsRowFunction="sum" dataDxfId="282" totalsRowDxfId="28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80" dataDxfId="279" totalsRowDxfId="278">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77" totalsRowDxfId="276"/>
    <tableColumn id="2" xr3:uid="{D3FF3515-9047-4BBB-869A-D2E11918C23B}" name="Detalle" dataDxfId="275" totalsRowDxfId="274"/>
    <tableColumn id="3" xr3:uid="{8759BD7C-9D88-4606-89D6-DD4F7BB40422}" name="Documento" dataDxfId="273" totalsRowDxfId="272"/>
    <tableColumn id="4" xr3:uid="{C36E1D5A-C1C0-4543-B5D9-9FBB3E24D5F2}" name="Debe" totalsRowFunction="sum" dataDxfId="271" totalsRowDxfId="270"/>
    <tableColumn id="5" xr3:uid="{27E80D36-9F48-4468-8839-F41EFD7A554F}" name="Haber" totalsRowFunction="sum" dataDxfId="269" totalsRowDxfId="268"/>
    <tableColumn id="6" xr3:uid="{0791213B-FED9-40D3-9C22-17D8FA6639DE}" name="Saldo" totalsRowFunction="custom" dataDxfId="267" totalsRowDxfId="266">
      <totalsRowFormula array="1">INDEX(tbl_libro_auxiliar_bancos[Saldo], COUNT(tbl_libro_auxiliar_bancos[Saldo]))</totalsRowFormula>
    </tableColumn>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265"/>
    <tableColumn id="7" xr3:uid="{1AE08FDB-546F-42C4-A9BC-45B45CC2B4FA}" uniqueName="7" name="Detalle" queryTableFieldId="2" dataDxfId="264"/>
    <tableColumn id="8" xr3:uid="{162ECDE3-CC33-4D85-9E9B-33316B38BE3A}" uniqueName="8" name="Documento" queryTableFieldId="3" dataDxfId="263"/>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262" dataDxfId="261" totalsRowDxfId="260">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259" totalsRowDxfId="258"/>
    <tableColumn id="2" xr3:uid="{054A8930-BAEE-4B5B-B56A-CBCAB37B55C1}" name="Detalle" dataDxfId="257" totalsRowDxfId="256"/>
    <tableColumn id="3" xr3:uid="{83D7B0F5-FE48-412F-AE9E-7CD9CF616640}" name="Documento" dataDxfId="255" totalsRowDxfId="254"/>
    <tableColumn id="4" xr3:uid="{D7CD5589-8EA4-4582-A2F6-06E76B66BAD3}" name="Valor" totalsRowFunction="sum" dataDxfId="253" totalsRowDxfId="252"/>
    <tableColumn id="5" xr3:uid="{6ADA082B-577A-46D0-A3F5-EB19E21A3E9A}" name="Saldo" totalsRowFunction="custom" dataDxfId="251" totalsRowDxfId="250">
      <totalsRowFormula array="1">INDEX(tbl_extracto[Saldo], COUNT(tbl_extracto[Saldo]))</totalsRow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249" totalsRowDxfId="24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247" totalsRowDxfId="24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245" totalsRowDxfId="244"/>
    <tableColumn id="2" xr3:uid="{6AEFDE4D-5858-499D-B665-A6E55CDD0F7F}" name="Documento" dataDxfId="243" totalsRowDxfId="242"/>
    <tableColumn id="3" xr3:uid="{9CC3CC01-E374-4785-8298-2387AFF901DF}" name="Valor" totalsRowFunction="sum" dataDxfId="241" totalsRowDxfId="24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239">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238" totalsRowDxfId="237"/>
    <tableColumn id="2" xr3:uid="{3102E91D-43C6-4667-B150-97CFEC2BA120}" name="Documento" dataDxfId="236" totalsRowDxfId="235"/>
    <tableColumn id="3" xr3:uid="{0ADBE507-66D1-4C96-B31A-ADBECDED9694}" name="Valor" totalsRowFunction="sum" dataDxfId="234" totalsRow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232">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231" totalsRowDxfId="230"/>
    <tableColumn id="2" xr3:uid="{0A648ABE-BC4C-4B1E-ADFC-12B28549B905}" name="Documento" dataDxfId="229" totalsRowDxfId="228"/>
    <tableColumn id="3" xr3:uid="{CA039FE4-2EF5-4F40-90C3-B80CADA98B83}" name="Valor" totalsRowFunction="sum" dataDxfId="227" totalsRowDxfId="22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225">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224" totalsRowDxfId="223"/>
    <tableColumn id="2" xr3:uid="{D1C80000-E34C-48FA-BDAE-3D7C10910D33}" name="Documento" dataDxfId="222" totalsRowDxfId="221"/>
    <tableColumn id="3" xr3:uid="{BA986B08-9E76-45FD-B093-F9255E76D4C4}" name="Valor" totalsRowFunction="sum" dataDxfId="220" totalsRowDxfId="21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218">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217" totalsRowDxfId="216"/>
    <tableColumn id="2" xr3:uid="{BE48C6ED-858E-4A4A-B997-30DB01762594}" name="Documento" dataDxfId="215" totalsRowDxfId="214"/>
    <tableColumn id="3" xr3:uid="{A147792C-0F10-4874-87AC-88DA85A964CA}" name="Valor" totalsRowFunction="sum" dataDxfId="213" totalsRowDxfId="21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211">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210" totalsRowDxfId="209"/>
    <tableColumn id="2" xr3:uid="{1DD5A06D-F8B3-422E-9DF5-5F401BA772E0}" name="Documento" dataDxfId="208" totalsRowDxfId="207"/>
    <tableColumn id="3" xr3:uid="{A905D5C3-C712-4BC1-B850-7FAC5FCC9ECC}" name="Valor" totalsRowFunction="sum" dataDxfId="206" totalsRowDxfId="2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204" dataCellStyle="Normal"/>
    <tableColumn id="2" xr3:uid="{BB6AA3CF-2F58-4ED7-B754-9A6CD234B560}" name="Documento" totalsRowDxfId="203" dataCellStyle="Normal"/>
    <tableColumn id="3" xr3:uid="{18F21E44-BC5B-484E-B824-3397BD3C0C5C}" name="Valor" totalsRowFunction="sum" dataDxfId="202" totalsRowDxfId="201" dataCellStyle="Normal"/>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200" dataCellStyle="Normal"/>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99" totalsRowDxfId="19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97" totalsRowDxfId="19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95" totalsRowDxfId="19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93" totalsRowDxfId="19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91" totalsRowDxfId="19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89" totalsRowDxfId="188"/>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87" totalsRowDxfId="18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85" totalsRowDxfId="18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83" totalsRowDxfId="182"/>
    <tableColumn id="4" xr3:uid="{DAAE6A04-7E86-4107-A73E-A49084C37A77}" name="Haber" totalsRowFunction="sum" dataDxfId="181" totalsRowDxfId="18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79" totalsRowDxfId="178"/>
    <tableColumn id="4" xr3:uid="{243B575A-4E5E-49F1-B633-301542AB5732}" name="Haber" totalsRowFunction="sum" dataDxfId="177" totalsRowDxfId="176"/>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75" totalsRowDxfId="174"/>
    <tableColumn id="4" xr3:uid="{9C5E7894-3679-4E30-B50C-35BA7674C168}" name="Haber" totalsRowFunction="sum" dataDxfId="173" totalsRowDxfId="17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71" totalsRowDxfId="170"/>
    <tableColumn id="4" xr3:uid="{14CFE248-F059-4F52-91F7-965B105085AF}" name="Haber" totalsRowFunction="sum" dataDxfId="169" totalsRowDxfId="168"/>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67" totalsRowDxfId="166"/>
    <tableColumn id="4" xr3:uid="{4B130E2A-F81A-4B12-841F-384CD4E4E208}" name="Haber" totalsRowFunction="sum" dataDxfId="165" totalsRowDxfId="16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63" totalsRowDxfId="162"/>
    <tableColumn id="4" xr3:uid="{ED2E782F-97BB-478A-B192-D6C97AFE2049}" name="Haber" totalsRowFunction="sum" dataDxfId="161" totalsRowDxfId="160"/>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59" totalsRowDxfId="158">
      <calculatedColumnFormula>E127+E128</calculatedColumnFormula>
    </tableColumn>
    <tableColumn id="4" xr3:uid="{2D241872-0B21-4220-BB55-8FA9CF3BDEBC}" name="Haber" totalsRowFunction="sum" dataDxfId="157" totalsRowDxfId="15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55" totalsRowDxfId="154"/>
    <tableColumn id="3" xr3:uid="{C8DA64B3-5A04-483E-B3FF-526DA72EAF4B}" name="Interes" totalsRowFunction="sum" dataDxfId="153" totalsRowDxfId="152"/>
    <tableColumn id="4" xr3:uid="{6D8EBC55-606C-4284-AA47-2B69DB2011FF}" name="Cuota" totalsRowFunction="sum" dataDxfId="151" totalsRowDxfId="150"/>
    <tableColumn id="5" xr3:uid="{58AC5A18-A329-4A3B-8EE4-4A12D7577EDA}" name="Saldo" totalsRowFunction="sum" totalsRowDxfId="1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48" totalsRowDxfId="147"/>
    <tableColumn id="4" xr3:uid="{4677B9FA-A42C-414A-8717-B780F3E27FA4}" name="Haber" totalsRowFunction="sum" dataDxfId="146" totalsRowDxfId="14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44" totalsRowDxfId="143"/>
    <tableColumn id="4" xr3:uid="{89FE12DA-22B1-45E4-94D6-3A6C8991A523}" name="Haber" totalsRowFunction="sum" dataDxfId="142" totalsRowDxfId="14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140" totalsRowDxfId="139"/>
    <tableColumn id="4" xr3:uid="{412DFE33-BC60-49EE-8850-5497528DFF88}" name="Haber" totalsRowFunction="sum" dataDxfId="138" totalsRowDxfId="1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136" totalsRowDxfId="135"/>
    <tableColumn id="4" xr3:uid="{F75BD319-D3E6-4DF6-894C-F4497FF0B20C}" name="Haber" totalsRowFunction="sum" dataDxfId="134" totalsRowDxfId="1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132" totalsRowDxfId="131"/>
    <tableColumn id="4" xr3:uid="{FE11E439-C1D8-416C-AAC7-B0ECD68C978C}" name="Haber" totalsRowFunction="sum" dataDxfId="130" totalsRowDxfId="12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128" totalsRowDxfId="127"/>
    <tableColumn id="4" xr3:uid="{37160474-1F6C-4D02-91D8-18CBB9047285}" name="Haber" totalsRowFunction="sum" dataDxfId="126" totalsRowDxfId="12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124" totalsRowDxfId="123"/>
    <tableColumn id="4" xr3:uid="{5A2650BB-019B-4084-850D-DD5AFE3BE50E}" name="Haber" totalsRowFunction="sum" dataDxfId="122" totalsRowDxfId="121"/>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120" totalsRowDxfId="119"/>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118" totalsRowDxfId="117"/>
    <tableColumn id="3" xr3:uid="{FF418158-48A0-43C9-B333-E877554673EC}" name="Interes" totalsRowFunction="sum" dataDxfId="116" totalsRowDxfId="115"/>
    <tableColumn id="4" xr3:uid="{3384BC44-21A8-4BD8-9235-D612F8E58F5D}" name="Cuota" totalsRowFunction="sum" dataDxfId="114" totalsRowDxfId="113"/>
    <tableColumn id="5" xr3:uid="{D47F5177-F0FC-4100-851B-893D901D5AC7}" name="Saldo" totalsRowFunction="count" dataDxfId="112"/>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111" totalsRowDxfId="110"/>
    <tableColumn id="4" xr3:uid="{E1D0EE40-D208-42A4-A3C6-CBF48856703D}" name="Haber" totalsRowFunction="sum" dataDxfId="109" totalsRowDxfId="108"/>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107" totalsRowDxfId="106"/>
    <tableColumn id="4" xr3:uid="{1BBE9969-3F6D-4468-B5ED-EE6C44EE6216}" name="Haber" totalsRowFunction="sum" dataDxfId="105" totalsRowDxfId="104"/>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103" totalsRowDxfId="102"/>
    <tableColumn id="4" xr3:uid="{1CE844E5-37E1-4E88-958F-F8317F23B841}" name="Haber" totalsRowFunction="sum" dataDxfId="101" totalsRowDxfId="100"/>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99" totalsRowDxfId="98"/>
    <tableColumn id="4" xr3:uid="{475B5169-A884-44F4-88DF-29BB8346B501}" name="Haber" totalsRowFunction="sum" dataDxfId="97" totalsRowDxfId="96"/>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95" totalsRowDxfId="94"/>
    <tableColumn id="4" xr3:uid="{A06346F3-32B7-45B6-940E-825880D575AC}" name="Haber" totalsRowFunction="sum" dataDxfId="93" totalsRowDxfId="92"/>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91" totalsRowDxfId="90"/>
    <tableColumn id="4" xr3:uid="{3B1B6FAD-8788-4BFC-91C7-9C5104CFA460}" name="Haber" totalsRowFunction="sum" dataDxfId="89" totalsRowDxfId="88"/>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87" totalsRowDxfId="86"/>
    <tableColumn id="4" xr3:uid="{10A5FECF-918D-44D3-A251-232FAAB294D0}" name="Haber" totalsRowFunction="sum" dataDxfId="85" totalsRowDxfId="84"/>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83" totalsRowDxfId="82"/>
    <tableColumn id="4" xr3:uid="{3A77BED6-6AD7-4A18-AEA4-DC6004FAEAA0}" name="Haber" totalsRowFunction="sum" dataDxfId="81" totalsRowDxfId="80"/>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79" totalsRowDxfId="78"/>
    <tableColumn id="4" xr3:uid="{DE6B35A3-0EF1-499D-AC60-9B136AB3CAC4}" name="Haber" totalsRowFunction="sum" dataDxfId="77" totalsRowDxfId="76"/>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75" totalsRowDxfId="74"/>
    <tableColumn id="4" xr3:uid="{91EF7913-698E-4DCD-BECE-A14669A9855E}" name="Haber" totalsRowFunction="sum" dataDxfId="73" totalsRowDxfId="72"/>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71" dataDxfId="69" headerRowBorderDxfId="70" tableBorderDxfId="68" totalsRowBorderDxfId="67" headerRowCellStyle="Normal_Hoja1" dataCellStyle="Normal_Hoja1">
  <autoFilter ref="A1:B2473" xr:uid="{84F4EBC0-8A41-414B-83A3-EED00469B752}"/>
  <tableColumns count="2">
    <tableColumn id="1" xr3:uid="{37DE6704-8DB2-47A7-9BCD-1A097FAFA87B}" name="Codigo" dataDxfId="66" dataCellStyle="Normal_Hoja1"/>
    <tableColumn id="2" xr3:uid="{898CFDA3-DCFE-4321-A705-0E574E55217B}" name="Nombre" dataDxfId="65"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18" Type="http://schemas.openxmlformats.org/officeDocument/2006/relationships/table" Target="../tables/table2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17" Type="http://schemas.openxmlformats.org/officeDocument/2006/relationships/table" Target="../tables/table22.xml"/><Relationship Id="rId2" Type="http://schemas.openxmlformats.org/officeDocument/2006/relationships/drawing" Target="../drawings/drawing6.xml"/><Relationship Id="rId16" Type="http://schemas.openxmlformats.org/officeDocument/2006/relationships/table" Target="../tables/table21.xml"/><Relationship Id="rId1" Type="http://schemas.openxmlformats.org/officeDocument/2006/relationships/printerSettings" Target="../printerSettings/printerSettings5.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5" Type="http://schemas.openxmlformats.org/officeDocument/2006/relationships/table" Target="../tables/table20.xml"/><Relationship Id="rId10" Type="http://schemas.openxmlformats.org/officeDocument/2006/relationships/table" Target="../tables/table15.xml"/><Relationship Id="rId19" Type="http://schemas.openxmlformats.org/officeDocument/2006/relationships/table" Target="../tables/table24.xml"/><Relationship Id="rId4" Type="http://schemas.openxmlformats.org/officeDocument/2006/relationships/table" Target="../tables/table9.xml"/><Relationship Id="rId9" Type="http://schemas.openxmlformats.org/officeDocument/2006/relationships/table" Target="../tables/table14.xml"/><Relationship Id="rId14" Type="http://schemas.openxmlformats.org/officeDocument/2006/relationships/table" Target="../tables/table1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3" Type="http://schemas.openxmlformats.org/officeDocument/2006/relationships/table" Target="../tables/table30.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 Type="http://schemas.openxmlformats.org/officeDocument/2006/relationships/drawing" Target="../drawings/drawing12.xml"/><Relationship Id="rId16" Type="http://schemas.openxmlformats.org/officeDocument/2006/relationships/table" Target="../tables/table43.xml"/><Relationship Id="rId1" Type="http://schemas.openxmlformats.org/officeDocument/2006/relationships/printerSettings" Target="../printerSettings/printerSettings9.bin"/><Relationship Id="rId6" Type="http://schemas.openxmlformats.org/officeDocument/2006/relationships/table" Target="../tables/table33.xml"/><Relationship Id="rId11" Type="http://schemas.openxmlformats.org/officeDocument/2006/relationships/table" Target="../tables/table38.xml"/><Relationship Id="rId5" Type="http://schemas.openxmlformats.org/officeDocument/2006/relationships/table" Target="../tables/table32.xml"/><Relationship Id="rId15" Type="http://schemas.openxmlformats.org/officeDocument/2006/relationships/table" Target="../tables/table42.xml"/><Relationship Id="rId10" Type="http://schemas.openxmlformats.org/officeDocument/2006/relationships/table" Target="../tables/table37.xml"/><Relationship Id="rId19" Type="http://schemas.openxmlformats.org/officeDocument/2006/relationships/table" Target="../tables/table46.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52.xml"/><Relationship Id="rId13" Type="http://schemas.openxmlformats.org/officeDocument/2006/relationships/table" Target="../tables/table57.xml"/><Relationship Id="rId18" Type="http://schemas.openxmlformats.org/officeDocument/2006/relationships/table" Target="../tables/table62.xml"/><Relationship Id="rId26" Type="http://schemas.openxmlformats.org/officeDocument/2006/relationships/table" Target="../tables/table70.xml"/><Relationship Id="rId3" Type="http://schemas.openxmlformats.org/officeDocument/2006/relationships/table" Target="../tables/table47.xml"/><Relationship Id="rId21" Type="http://schemas.openxmlformats.org/officeDocument/2006/relationships/table" Target="../tables/table65.xml"/><Relationship Id="rId7" Type="http://schemas.openxmlformats.org/officeDocument/2006/relationships/table" Target="../tables/table51.xml"/><Relationship Id="rId12" Type="http://schemas.openxmlformats.org/officeDocument/2006/relationships/table" Target="../tables/table56.xml"/><Relationship Id="rId17" Type="http://schemas.openxmlformats.org/officeDocument/2006/relationships/table" Target="../tables/table61.xml"/><Relationship Id="rId25" Type="http://schemas.openxmlformats.org/officeDocument/2006/relationships/table" Target="../tables/table69.xml"/><Relationship Id="rId2" Type="http://schemas.openxmlformats.org/officeDocument/2006/relationships/drawing" Target="../drawings/drawing13.xml"/><Relationship Id="rId16" Type="http://schemas.openxmlformats.org/officeDocument/2006/relationships/table" Target="../tables/table60.xml"/><Relationship Id="rId20" Type="http://schemas.openxmlformats.org/officeDocument/2006/relationships/table" Target="../tables/table64.xml"/><Relationship Id="rId29" Type="http://schemas.openxmlformats.org/officeDocument/2006/relationships/table" Target="../tables/table73.xml"/><Relationship Id="rId1" Type="http://schemas.openxmlformats.org/officeDocument/2006/relationships/printerSettings" Target="../printerSettings/printerSettings10.bin"/><Relationship Id="rId6" Type="http://schemas.openxmlformats.org/officeDocument/2006/relationships/table" Target="../tables/table50.xml"/><Relationship Id="rId11" Type="http://schemas.openxmlformats.org/officeDocument/2006/relationships/table" Target="../tables/table55.xml"/><Relationship Id="rId24" Type="http://schemas.openxmlformats.org/officeDocument/2006/relationships/table" Target="../tables/table68.xml"/><Relationship Id="rId32" Type="http://schemas.openxmlformats.org/officeDocument/2006/relationships/table" Target="../tables/table76.xml"/><Relationship Id="rId5" Type="http://schemas.openxmlformats.org/officeDocument/2006/relationships/table" Target="../tables/table49.xml"/><Relationship Id="rId15" Type="http://schemas.openxmlformats.org/officeDocument/2006/relationships/table" Target="../tables/table59.xml"/><Relationship Id="rId23" Type="http://schemas.openxmlformats.org/officeDocument/2006/relationships/table" Target="../tables/table67.xml"/><Relationship Id="rId28" Type="http://schemas.openxmlformats.org/officeDocument/2006/relationships/table" Target="../tables/table72.xml"/><Relationship Id="rId10" Type="http://schemas.openxmlformats.org/officeDocument/2006/relationships/table" Target="../tables/table54.xml"/><Relationship Id="rId19" Type="http://schemas.openxmlformats.org/officeDocument/2006/relationships/table" Target="../tables/table63.xml"/><Relationship Id="rId31" Type="http://schemas.openxmlformats.org/officeDocument/2006/relationships/table" Target="../tables/table75.xml"/><Relationship Id="rId4" Type="http://schemas.openxmlformats.org/officeDocument/2006/relationships/table" Target="../tables/table48.xml"/><Relationship Id="rId9" Type="http://schemas.openxmlformats.org/officeDocument/2006/relationships/table" Target="../tables/table53.xml"/><Relationship Id="rId14" Type="http://schemas.openxmlformats.org/officeDocument/2006/relationships/table" Target="../tables/table58.xml"/><Relationship Id="rId22" Type="http://schemas.openxmlformats.org/officeDocument/2006/relationships/table" Target="../tables/table66.xml"/><Relationship Id="rId27" Type="http://schemas.openxmlformats.org/officeDocument/2006/relationships/table" Target="../tables/table71.xml"/><Relationship Id="rId30" Type="http://schemas.openxmlformats.org/officeDocument/2006/relationships/table" Target="../tables/table7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72" t="s">
        <v>3787</v>
      </c>
      <c r="D1" s="72"/>
      <c r="E1" s="72"/>
      <c r="F1" s="72"/>
      <c r="G1" s="72"/>
      <c r="H1" s="72"/>
      <c r="I1" s="72"/>
    </row>
    <row r="2" spans="1:9" ht="20.25" x14ac:dyDescent="0.3">
      <c r="C2" s="69" t="s">
        <v>3726</v>
      </c>
      <c r="D2" s="69"/>
      <c r="E2" s="73" t="s">
        <v>3732</v>
      </c>
      <c r="F2" s="74"/>
      <c r="G2" s="74"/>
      <c r="H2" s="74"/>
      <c r="I2" s="74"/>
    </row>
    <row r="3" spans="1:9" ht="20.25" x14ac:dyDescent="0.3">
      <c r="C3" s="69" t="s">
        <v>3728</v>
      </c>
      <c r="D3" s="69"/>
      <c r="E3" s="70">
        <v>900235498</v>
      </c>
      <c r="F3" s="71"/>
      <c r="G3" s="71"/>
      <c r="H3" s="71"/>
      <c r="I3" s="71"/>
    </row>
    <row r="4" spans="1:9" ht="20.25" x14ac:dyDescent="0.3">
      <c r="C4" s="69" t="s">
        <v>3729</v>
      </c>
      <c r="D4" s="69"/>
      <c r="E4" s="70" t="s">
        <v>3734</v>
      </c>
      <c r="F4" s="71"/>
      <c r="G4" s="71"/>
      <c r="H4" s="71"/>
      <c r="I4" s="71"/>
    </row>
    <row r="5" spans="1:9" ht="20.25" x14ac:dyDescent="0.3">
      <c r="C5" s="69" t="s">
        <v>3730</v>
      </c>
      <c r="D5" s="69"/>
      <c r="E5" s="70" t="s">
        <v>3733</v>
      </c>
      <c r="F5" s="71"/>
      <c r="G5" s="71"/>
      <c r="H5" s="71"/>
      <c r="I5" s="71"/>
    </row>
    <row r="6" spans="1:9" ht="20.25" x14ac:dyDescent="0.3">
      <c r="C6" s="69" t="s">
        <v>3788</v>
      </c>
      <c r="D6" s="69"/>
      <c r="E6" s="70" t="s">
        <v>3735</v>
      </c>
      <c r="F6" s="71"/>
      <c r="G6" s="71"/>
      <c r="H6" s="71"/>
      <c r="I6" s="71"/>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6" t="s">
        <v>3787</v>
      </c>
      <c r="D1" s="76"/>
      <c r="E1" s="76"/>
      <c r="F1" s="76"/>
      <c r="G1" s="76"/>
      <c r="H1" s="76"/>
      <c r="I1" s="76"/>
    </row>
    <row r="2" spans="3:9" ht="20.25" x14ac:dyDescent="0.3">
      <c r="C2" s="75" t="s">
        <v>3726</v>
      </c>
      <c r="D2" s="75"/>
      <c r="E2" s="73" t="s">
        <v>3732</v>
      </c>
      <c r="F2" s="74"/>
      <c r="G2" s="74"/>
      <c r="H2" s="74"/>
      <c r="I2" s="74"/>
    </row>
    <row r="3" spans="3:9" ht="20.25" x14ac:dyDescent="0.3">
      <c r="C3" s="75" t="s">
        <v>3728</v>
      </c>
      <c r="D3" s="75"/>
      <c r="E3" s="70">
        <v>900235498</v>
      </c>
      <c r="F3" s="71"/>
      <c r="G3" s="71"/>
      <c r="H3" s="71"/>
      <c r="I3" s="71"/>
    </row>
    <row r="4" spans="3:9" ht="20.25" x14ac:dyDescent="0.3">
      <c r="C4" s="75" t="s">
        <v>3729</v>
      </c>
      <c r="D4" s="75"/>
      <c r="E4" s="70" t="s">
        <v>3734</v>
      </c>
      <c r="F4" s="71"/>
      <c r="G4" s="71"/>
      <c r="H4" s="71"/>
      <c r="I4" s="71"/>
    </row>
    <row r="5" spans="3:9" ht="20.25" x14ac:dyDescent="0.3">
      <c r="C5" s="75" t="s">
        <v>3730</v>
      </c>
      <c r="D5" s="75"/>
      <c r="E5" s="70" t="s">
        <v>3733</v>
      </c>
      <c r="F5" s="71"/>
      <c r="G5" s="71"/>
      <c r="H5" s="71"/>
      <c r="I5" s="71"/>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8" t="s">
        <v>3727</v>
      </c>
      <c r="C2" s="78"/>
      <c r="D2" s="78"/>
      <c r="E2" s="78"/>
      <c r="F2" s="78"/>
    </row>
    <row r="3" spans="2:6" ht="20.25" x14ac:dyDescent="0.3">
      <c r="B3" s="77" t="s">
        <v>3726</v>
      </c>
      <c r="C3" s="77"/>
      <c r="D3" s="71" t="s">
        <v>3732</v>
      </c>
      <c r="E3" s="71"/>
      <c r="F3" s="71"/>
    </row>
    <row r="4" spans="2:6" ht="20.25" x14ac:dyDescent="0.3">
      <c r="B4" s="77" t="s">
        <v>3728</v>
      </c>
      <c r="C4" s="77"/>
      <c r="D4" s="71">
        <v>900235498</v>
      </c>
      <c r="E4" s="71"/>
      <c r="F4" s="71"/>
    </row>
    <row r="5" spans="2:6" ht="20.25" x14ac:dyDescent="0.3">
      <c r="B5" s="77" t="s">
        <v>3729</v>
      </c>
      <c r="C5" s="77"/>
      <c r="D5" s="71" t="s">
        <v>3734</v>
      </c>
      <c r="E5" s="71"/>
      <c r="F5" s="71"/>
    </row>
    <row r="6" spans="2:6" ht="20.25" x14ac:dyDescent="0.3">
      <c r="B6" s="77" t="s">
        <v>3730</v>
      </c>
      <c r="C6" s="77"/>
      <c r="D6" s="71" t="s">
        <v>3733</v>
      </c>
      <c r="E6" s="71"/>
      <c r="F6" s="71"/>
    </row>
    <row r="7" spans="2:6" ht="20.25" x14ac:dyDescent="0.3">
      <c r="B7" s="77" t="s">
        <v>3731</v>
      </c>
      <c r="C7" s="77"/>
      <c r="D7" s="71" t="s">
        <v>3735</v>
      </c>
      <c r="E7" s="71"/>
      <c r="F7" s="71"/>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6" t="s">
        <v>3784</v>
      </c>
      <c r="C2" s="76"/>
      <c r="D2" s="76"/>
      <c r="E2" s="76"/>
      <c r="F2" s="76"/>
      <c r="G2" s="76"/>
      <c r="H2" s="76"/>
      <c r="I2" s="76"/>
    </row>
    <row r="3" spans="2:9" ht="20.25" x14ac:dyDescent="0.3">
      <c r="B3" s="75" t="s">
        <v>3726</v>
      </c>
      <c r="C3" s="75"/>
      <c r="D3" s="79" t="s">
        <v>3732</v>
      </c>
      <c r="E3" s="79"/>
      <c r="F3" s="79"/>
      <c r="G3" s="79"/>
      <c r="H3" s="79"/>
      <c r="I3" s="79"/>
    </row>
    <row r="4" spans="2:9" ht="20.25" x14ac:dyDescent="0.3">
      <c r="B4" s="75" t="s">
        <v>3728</v>
      </c>
      <c r="C4" s="75"/>
      <c r="D4" s="79">
        <v>900235498</v>
      </c>
      <c r="E4" s="79"/>
      <c r="F4" s="79"/>
      <c r="G4" s="79"/>
      <c r="H4" s="79"/>
      <c r="I4" s="79"/>
    </row>
    <row r="5" spans="2:9" ht="20.25" x14ac:dyDescent="0.3">
      <c r="B5" s="75" t="s">
        <v>3729</v>
      </c>
      <c r="C5" s="75"/>
      <c r="D5" s="79" t="s">
        <v>3734</v>
      </c>
      <c r="E5" s="79"/>
      <c r="F5" s="79"/>
      <c r="G5" s="79"/>
      <c r="H5" s="79"/>
      <c r="I5" s="79"/>
    </row>
    <row r="6" spans="2:9" ht="20.25" x14ac:dyDescent="0.3">
      <c r="B6" s="75" t="s">
        <v>3730</v>
      </c>
      <c r="C6" s="75"/>
      <c r="D6" s="79" t="s">
        <v>3733</v>
      </c>
      <c r="E6" s="79"/>
      <c r="F6" s="79"/>
      <c r="G6" s="79"/>
      <c r="H6" s="79"/>
      <c r="I6" s="79"/>
    </row>
    <row r="7" spans="2:9" ht="20.25" x14ac:dyDescent="0.3">
      <c r="B7" s="75" t="s">
        <v>3731</v>
      </c>
      <c r="C7" s="75"/>
      <c r="D7" s="79" t="s">
        <v>3735</v>
      </c>
      <c r="E7" s="79"/>
      <c r="F7" s="79"/>
      <c r="G7" s="79"/>
      <c r="H7" s="79"/>
      <c r="I7" s="79"/>
    </row>
    <row r="9" spans="2:9" ht="20.25" x14ac:dyDescent="0.3">
      <c r="F9" s="75" t="s">
        <v>3774</v>
      </c>
      <c r="G9" s="75"/>
      <c r="H9" s="80">
        <v>1700000</v>
      </c>
      <c r="I9" s="80"/>
    </row>
    <row r="10" spans="2:9" ht="20.25" x14ac:dyDescent="0.3">
      <c r="F10" s="75" t="s">
        <v>3775</v>
      </c>
      <c r="G10" s="75"/>
      <c r="H10" s="80">
        <v>1529200</v>
      </c>
      <c r="I10" s="80"/>
    </row>
    <row r="11" spans="2:9" ht="20.25" x14ac:dyDescent="0.3">
      <c r="F11" s="75" t="s">
        <v>3776</v>
      </c>
      <c r="G11" s="75"/>
      <c r="H11" s="80">
        <v>1529200</v>
      </c>
      <c r="I11" s="80"/>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5" t="s">
        <v>3781</v>
      </c>
      <c r="C34" s="75"/>
      <c r="D34" s="75"/>
      <c r="F34" s="75" t="s">
        <v>3782</v>
      </c>
      <c r="G34" s="75"/>
      <c r="H34" s="75"/>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5" t="s">
        <v>3781</v>
      </c>
      <c r="C44" s="75"/>
      <c r="D44" s="75"/>
      <c r="E44" s="6">
        <v>143000</v>
      </c>
      <c r="F44" s="7"/>
    </row>
    <row r="45" spans="2:8" ht="20.25" x14ac:dyDescent="0.3">
      <c r="B45" s="75" t="s">
        <v>3782</v>
      </c>
      <c r="C45" s="75"/>
      <c r="D45" s="75"/>
      <c r="E45" s="6">
        <v>27800</v>
      </c>
      <c r="F45" s="7"/>
    </row>
    <row r="46" spans="2:8" ht="20.25" x14ac:dyDescent="0.3">
      <c r="B46" s="75" t="s">
        <v>3783</v>
      </c>
      <c r="C46" s="75"/>
      <c r="D46" s="75"/>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6" t="s">
        <v>3785</v>
      </c>
      <c r="C1" s="76"/>
      <c r="D1" s="76"/>
      <c r="E1" s="76"/>
      <c r="F1" s="76"/>
      <c r="G1" s="8"/>
      <c r="H1" s="8"/>
      <c r="I1" s="8"/>
    </row>
    <row r="2" spans="2:9" ht="20.25" x14ac:dyDescent="0.3">
      <c r="B2" s="75" t="s">
        <v>3726</v>
      </c>
      <c r="C2" s="75"/>
      <c r="D2" s="79" t="s">
        <v>3732</v>
      </c>
      <c r="E2" s="79"/>
      <c r="F2" s="79"/>
      <c r="G2" s="9"/>
      <c r="H2" s="9"/>
      <c r="I2" s="9"/>
    </row>
    <row r="3" spans="2:9" ht="20.25" x14ac:dyDescent="0.3">
      <c r="B3" s="75" t="s">
        <v>3728</v>
      </c>
      <c r="C3" s="75"/>
      <c r="D3" s="79">
        <v>900235498</v>
      </c>
      <c r="E3" s="79"/>
      <c r="F3" s="79"/>
      <c r="G3" s="9"/>
      <c r="H3" s="9"/>
      <c r="I3" s="9"/>
    </row>
    <row r="4" spans="2:9" ht="20.25" x14ac:dyDescent="0.3">
      <c r="B4" s="75" t="s">
        <v>3729</v>
      </c>
      <c r="C4" s="75"/>
      <c r="D4" s="79" t="s">
        <v>3734</v>
      </c>
      <c r="E4" s="79"/>
      <c r="F4" s="79"/>
      <c r="G4" s="9"/>
      <c r="H4" s="9"/>
      <c r="I4" s="9"/>
    </row>
    <row r="5" spans="2:9" ht="20.25" x14ac:dyDescent="0.3">
      <c r="B5" s="75" t="s">
        <v>3730</v>
      </c>
      <c r="C5" s="75"/>
      <c r="D5" s="79" t="s">
        <v>3733</v>
      </c>
      <c r="E5" s="79"/>
      <c r="F5" s="79"/>
      <c r="G5" s="9"/>
      <c r="H5" s="9"/>
      <c r="I5" s="9"/>
    </row>
    <row r="6" spans="2:9" ht="20.25" x14ac:dyDescent="0.3">
      <c r="B6" s="75" t="s">
        <v>3731</v>
      </c>
      <c r="C6" s="75"/>
      <c r="D6" s="79" t="s">
        <v>3735</v>
      </c>
      <c r="E6" s="79"/>
      <c r="F6" s="79"/>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A3:M164"/>
  <sheetViews>
    <sheetView tabSelected="1" topLeftCell="A140" zoomScale="70" workbookViewId="0">
      <selection activeCell="K9" sqref="K9"/>
    </sheetView>
  </sheetViews>
  <sheetFormatPr baseColWidth="10" defaultRowHeight="15" x14ac:dyDescent="0.25"/>
  <cols>
    <col min="1" max="1" width="14.28515625" customWidth="1"/>
    <col min="2" max="5" width="14.7109375"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1:13" x14ac:dyDescent="0.25">
      <c r="I3" t="s">
        <v>3939</v>
      </c>
      <c r="J3" t="s">
        <v>3940</v>
      </c>
      <c r="K3" t="s">
        <v>3941</v>
      </c>
      <c r="L3" t="s">
        <v>3942</v>
      </c>
      <c r="M3" s="4" t="s">
        <v>3943</v>
      </c>
    </row>
    <row r="4" spans="1:13" x14ac:dyDescent="0.25">
      <c r="A4" t="s">
        <v>3716</v>
      </c>
      <c r="B4" t="s">
        <v>0</v>
      </c>
      <c r="C4" t="s">
        <v>1</v>
      </c>
      <c r="D4" s="4" t="s">
        <v>2</v>
      </c>
      <c r="E4" s="4" t="s">
        <v>3</v>
      </c>
      <c r="I4" t="s">
        <v>4080</v>
      </c>
      <c r="J4" t="s">
        <v>4081</v>
      </c>
      <c r="K4" t="s">
        <v>4082</v>
      </c>
      <c r="L4" t="s">
        <v>3966</v>
      </c>
      <c r="M4" s="4" t="s">
        <v>4085</v>
      </c>
    </row>
    <row r="5" spans="1:13" x14ac:dyDescent="0.25">
      <c r="D5" s="4"/>
      <c r="E5" s="4"/>
      <c r="I5" t="s">
        <v>4083</v>
      </c>
      <c r="J5" t="s">
        <v>4081</v>
      </c>
      <c r="K5" t="s">
        <v>4084</v>
      </c>
      <c r="L5" t="s">
        <v>3966</v>
      </c>
      <c r="M5" s="4" t="s">
        <v>4086</v>
      </c>
    </row>
    <row r="6" spans="1:13" x14ac:dyDescent="0.25">
      <c r="A6" t="s">
        <v>4</v>
      </c>
      <c r="D6" s="4">
        <f>SUBTOTAL(109,tbl_registro_mayor_1[Debe])</f>
        <v>0</v>
      </c>
      <c r="E6" s="4">
        <f>SUBTOTAL(109,tbl_registro_mayor_1[Haber])</f>
        <v>0</v>
      </c>
      <c r="I6" t="s">
        <v>4087</v>
      </c>
      <c r="J6" t="s">
        <v>4081</v>
      </c>
      <c r="K6" t="s">
        <v>4089</v>
      </c>
      <c r="L6" t="s">
        <v>3966</v>
      </c>
      <c r="M6" s="4" t="s">
        <v>4091</v>
      </c>
    </row>
    <row r="7" spans="1:13" x14ac:dyDescent="0.25">
      <c r="I7" t="s">
        <v>4088</v>
      </c>
      <c r="J7" t="s">
        <v>4081</v>
      </c>
      <c r="K7" t="s">
        <v>4090</v>
      </c>
      <c r="L7" t="s">
        <v>3966</v>
      </c>
      <c r="M7" s="4" t="s">
        <v>4092</v>
      </c>
    </row>
    <row r="8" spans="1:13" x14ac:dyDescent="0.25">
      <c r="A8" t="s">
        <v>3716</v>
      </c>
      <c r="B8" t="s">
        <v>0</v>
      </c>
      <c r="C8" t="s">
        <v>1</v>
      </c>
      <c r="D8" s="4" t="s">
        <v>2</v>
      </c>
      <c r="E8" s="4" t="s">
        <v>3</v>
      </c>
      <c r="I8" t="s">
        <v>4093</v>
      </c>
      <c r="J8" t="s">
        <v>4081</v>
      </c>
      <c r="K8" t="s">
        <v>4096</v>
      </c>
      <c r="L8" t="s">
        <v>3966</v>
      </c>
      <c r="M8" s="4" t="s">
        <v>4099</v>
      </c>
    </row>
    <row r="9" spans="1:13" x14ac:dyDescent="0.25">
      <c r="D9" s="4"/>
      <c r="E9" s="4"/>
      <c r="I9" t="s">
        <v>4094</v>
      </c>
      <c r="J9" t="s">
        <v>4081</v>
      </c>
      <c r="K9" t="s">
        <v>4097</v>
      </c>
      <c r="L9" t="s">
        <v>3966</v>
      </c>
      <c r="M9" s="4" t="s">
        <v>4100</v>
      </c>
    </row>
    <row r="10" spans="1:13" x14ac:dyDescent="0.25">
      <c r="A10" t="s">
        <v>4</v>
      </c>
      <c r="D10" s="4">
        <f>SUBTOTAL(109,tbl_registro_mayor_2[Debe])</f>
        <v>0</v>
      </c>
      <c r="E10" s="4">
        <f>SUBTOTAL(109,tbl_registro_mayor_2[Haber])</f>
        <v>0</v>
      </c>
      <c r="I10" t="s">
        <v>4095</v>
      </c>
      <c r="J10" t="s">
        <v>4081</v>
      </c>
      <c r="K10" t="s">
        <v>4098</v>
      </c>
      <c r="L10" t="s">
        <v>3966</v>
      </c>
      <c r="M10" s="4" t="s">
        <v>4101</v>
      </c>
    </row>
    <row r="11" spans="1:13" x14ac:dyDescent="0.25">
      <c r="I11" t="s">
        <v>4102</v>
      </c>
      <c r="J11" t="s">
        <v>4081</v>
      </c>
      <c r="K11" t="s">
        <v>4108</v>
      </c>
      <c r="L11" t="s">
        <v>3966</v>
      </c>
      <c r="M11" s="4" t="s">
        <v>4103</v>
      </c>
    </row>
    <row r="12" spans="1:13" x14ac:dyDescent="0.25">
      <c r="A12" t="s">
        <v>3716</v>
      </c>
      <c r="B12" t="s">
        <v>0</v>
      </c>
      <c r="C12" t="s">
        <v>1</v>
      </c>
      <c r="D12" s="4" t="s">
        <v>2</v>
      </c>
      <c r="E12" s="4" t="s">
        <v>3</v>
      </c>
      <c r="I12" t="s">
        <v>4104</v>
      </c>
      <c r="J12" t="s">
        <v>4081</v>
      </c>
      <c r="K12" t="s">
        <v>4109</v>
      </c>
      <c r="L12" t="s">
        <v>3966</v>
      </c>
      <c r="M12" s="4" t="s">
        <v>4105</v>
      </c>
    </row>
    <row r="13" spans="1:13" x14ac:dyDescent="0.25">
      <c r="D13" s="4"/>
      <c r="E13" s="4"/>
      <c r="I13" t="s">
        <v>4106</v>
      </c>
      <c r="J13" t="s">
        <v>4081</v>
      </c>
      <c r="K13" t="s">
        <v>4110</v>
      </c>
      <c r="L13" t="s">
        <v>3966</v>
      </c>
      <c r="M13" s="4" t="s">
        <v>4112</v>
      </c>
    </row>
    <row r="14" spans="1:13" x14ac:dyDescent="0.25">
      <c r="A14" t="s">
        <v>4</v>
      </c>
      <c r="D14" s="4">
        <f>SUBTOTAL(109,tbl_registro_mayor_3[Debe])</f>
        <v>0</v>
      </c>
      <c r="E14" s="4">
        <f>SUBTOTAL(109,tbl_registro_mayor_3[Haber])</f>
        <v>0</v>
      </c>
      <c r="I14" t="s">
        <v>4107</v>
      </c>
      <c r="J14" t="s">
        <v>4081</v>
      </c>
      <c r="K14" t="s">
        <v>4111</v>
      </c>
      <c r="L14" t="s">
        <v>3966</v>
      </c>
      <c r="M14" s="68" t="s">
        <v>4113</v>
      </c>
    </row>
    <row r="15" spans="1:13" x14ac:dyDescent="0.25">
      <c r="I15" t="s">
        <v>4114</v>
      </c>
      <c r="J15" t="s">
        <v>4081</v>
      </c>
      <c r="K15" t="s">
        <v>4119</v>
      </c>
      <c r="L15" t="s">
        <v>3966</v>
      </c>
      <c r="M15" s="68" t="s">
        <v>4115</v>
      </c>
    </row>
    <row r="16" spans="1:13" x14ac:dyDescent="0.25">
      <c r="A16" t="s">
        <v>3716</v>
      </c>
      <c r="B16" t="s">
        <v>0</v>
      </c>
      <c r="C16" t="s">
        <v>1</v>
      </c>
      <c r="D16" s="4" t="s">
        <v>2</v>
      </c>
      <c r="E16" s="4" t="s">
        <v>3</v>
      </c>
      <c r="I16" t="s">
        <v>4116</v>
      </c>
      <c r="J16" t="s">
        <v>4081</v>
      </c>
      <c r="K16" t="s">
        <v>4120</v>
      </c>
      <c r="L16" t="s">
        <v>3966</v>
      </c>
      <c r="M16" s="68" t="s">
        <v>4123</v>
      </c>
    </row>
    <row r="17" spans="1:13" x14ac:dyDescent="0.25">
      <c r="D17" s="4"/>
      <c r="E17" s="4"/>
      <c r="I17" t="s">
        <v>4117</v>
      </c>
      <c r="J17" t="s">
        <v>4081</v>
      </c>
      <c r="K17" t="s">
        <v>4121</v>
      </c>
      <c r="L17" t="s">
        <v>3966</v>
      </c>
      <c r="M17" s="68" t="s">
        <v>4124</v>
      </c>
    </row>
    <row r="18" spans="1:13" x14ac:dyDescent="0.25">
      <c r="A18" t="s">
        <v>4</v>
      </c>
      <c r="D18" s="4">
        <f>SUBTOTAL(109,tbl_registro_mayor_4[Debe])</f>
        <v>0</v>
      </c>
      <c r="E18" s="4">
        <f>SUBTOTAL(109,tbl_registro_mayor_4[Haber])</f>
        <v>0</v>
      </c>
      <c r="I18" t="s">
        <v>4118</v>
      </c>
      <c r="J18" t="s">
        <v>4081</v>
      </c>
      <c r="K18" t="s">
        <v>4122</v>
      </c>
      <c r="L18" t="s">
        <v>3966</v>
      </c>
      <c r="M18" s="68" t="s">
        <v>4125</v>
      </c>
    </row>
    <row r="19" spans="1:13" x14ac:dyDescent="0.25">
      <c r="I19" t="s">
        <v>4126</v>
      </c>
      <c r="J19" t="s">
        <v>4081</v>
      </c>
      <c r="K19" t="s">
        <v>4127</v>
      </c>
      <c r="L19" t="s">
        <v>3966</v>
      </c>
      <c r="M19" s="68" t="s">
        <v>4128</v>
      </c>
    </row>
    <row r="20" spans="1:13" x14ac:dyDescent="0.25">
      <c r="A20" t="s">
        <v>3716</v>
      </c>
      <c r="B20" t="s">
        <v>0</v>
      </c>
      <c r="C20" t="s">
        <v>1</v>
      </c>
      <c r="D20" s="4" t="s">
        <v>2</v>
      </c>
      <c r="E20" s="4" t="s">
        <v>3</v>
      </c>
      <c r="I20" t="s">
        <v>4</v>
      </c>
      <c r="M20" s="24">
        <f>SUBTOTAL(103,tbl_registros_libro_mayor[Titulos tablas])</f>
        <v>16</v>
      </c>
    </row>
    <row r="21" spans="1:13" x14ac:dyDescent="0.25">
      <c r="D21" s="4"/>
      <c r="E21" s="4"/>
    </row>
    <row r="22" spans="1:13" x14ac:dyDescent="0.25">
      <c r="A22" t="s">
        <v>4</v>
      </c>
      <c r="D22" s="4">
        <f>SUBTOTAL(109,tbl_registro_mayor_5[Debe])</f>
        <v>0</v>
      </c>
      <c r="E22" s="4">
        <f>SUBTOTAL(109,tbl_registro_mayor_5[Haber])</f>
        <v>0</v>
      </c>
    </row>
    <row r="24" spans="1:13" x14ac:dyDescent="0.25">
      <c r="A24" t="s">
        <v>3716</v>
      </c>
      <c r="B24" t="s">
        <v>0</v>
      </c>
      <c r="C24" t="s">
        <v>1</v>
      </c>
      <c r="D24" s="4" t="s">
        <v>2</v>
      </c>
      <c r="E24" s="4" t="s">
        <v>3</v>
      </c>
    </row>
    <row r="25" spans="1:13" x14ac:dyDescent="0.25">
      <c r="D25" s="4"/>
      <c r="E25" s="4"/>
    </row>
    <row r="26" spans="1:13" x14ac:dyDescent="0.25">
      <c r="A26" t="s">
        <v>4</v>
      </c>
      <c r="D26" s="4">
        <f>SUBTOTAL(109,tbl_registro_mayor_6[Debe])</f>
        <v>0</v>
      </c>
      <c r="E26" s="4">
        <f>SUBTOTAL(109,tbl_registro_mayor_6[Haber])</f>
        <v>0</v>
      </c>
    </row>
    <row r="28" spans="1:13" x14ac:dyDescent="0.25">
      <c r="A28" t="s">
        <v>3716</v>
      </c>
      <c r="B28" t="s">
        <v>0</v>
      </c>
      <c r="C28" t="s">
        <v>1</v>
      </c>
      <c r="D28" s="4" t="s">
        <v>2</v>
      </c>
      <c r="E28" s="4" t="s">
        <v>3</v>
      </c>
    </row>
    <row r="29" spans="1:13" x14ac:dyDescent="0.25">
      <c r="D29" s="4"/>
      <c r="E29" s="4"/>
    </row>
    <row r="30" spans="1:13" x14ac:dyDescent="0.25">
      <c r="A30" t="s">
        <v>4</v>
      </c>
      <c r="D30" s="4">
        <f>SUBTOTAL(109,tbl_registro_mayor_7[Debe])</f>
        <v>0</v>
      </c>
      <c r="E30" s="4">
        <f>SUBTOTAL(109,tbl_registro_mayor_7[Haber])</f>
        <v>0</v>
      </c>
    </row>
    <row r="32" spans="1:13" x14ac:dyDescent="0.25">
      <c r="A32" t="s">
        <v>3716</v>
      </c>
      <c r="B32" t="s">
        <v>0</v>
      </c>
      <c r="C32" t="s">
        <v>1</v>
      </c>
      <c r="D32" s="4" t="s">
        <v>2</v>
      </c>
      <c r="E32" s="4" t="s">
        <v>3</v>
      </c>
    </row>
    <row r="33" spans="1:5" x14ac:dyDescent="0.25">
      <c r="D33" s="4"/>
      <c r="E33" s="4"/>
    </row>
    <row r="34" spans="1:5" x14ac:dyDescent="0.25">
      <c r="A34" t="s">
        <v>4</v>
      </c>
      <c r="D34" s="4">
        <f>SUBTOTAL(109,tbl_registro_mayor_8[Debe])</f>
        <v>0</v>
      </c>
      <c r="E34" s="4">
        <f>SUBTOTAL(109,tbl_registro_mayor_8[Haber])</f>
        <v>0</v>
      </c>
    </row>
    <row r="36" spans="1:5" x14ac:dyDescent="0.25">
      <c r="A36" t="s">
        <v>3716</v>
      </c>
      <c r="B36" t="s">
        <v>0</v>
      </c>
      <c r="C36" t="s">
        <v>1</v>
      </c>
      <c r="D36" s="4" t="s">
        <v>2</v>
      </c>
      <c r="E36" s="4" t="s">
        <v>3</v>
      </c>
    </row>
    <row r="37" spans="1:5" x14ac:dyDescent="0.25">
      <c r="D37" s="4"/>
      <c r="E37" s="4"/>
    </row>
    <row r="38" spans="1:5" x14ac:dyDescent="0.25">
      <c r="A38" t="s">
        <v>4</v>
      </c>
      <c r="D38" s="4">
        <f>SUBTOTAL(109,tbl_registro_mayor_9[Debe])</f>
        <v>0</v>
      </c>
      <c r="E38" s="4">
        <f>SUBTOTAL(109,tbl_registro_mayor_9[Haber])</f>
        <v>0</v>
      </c>
    </row>
    <row r="40" spans="1:5" x14ac:dyDescent="0.25">
      <c r="A40" t="s">
        <v>3716</v>
      </c>
      <c r="B40" t="s">
        <v>0</v>
      </c>
      <c r="C40" t="s">
        <v>1</v>
      </c>
      <c r="D40" s="4" t="s">
        <v>2</v>
      </c>
      <c r="E40" s="4" t="s">
        <v>3</v>
      </c>
    </row>
    <row r="41" spans="1:5" x14ac:dyDescent="0.25">
      <c r="D41" s="4"/>
      <c r="E41" s="4"/>
    </row>
    <row r="42" spans="1:5" x14ac:dyDescent="0.25">
      <c r="A42" t="s">
        <v>4</v>
      </c>
      <c r="D42" s="4">
        <f>SUBTOTAL(109,tbl_registro_mayor_10[Debe])</f>
        <v>0</v>
      </c>
      <c r="E42" s="4">
        <f>SUBTOTAL(109,tbl_registro_mayor_10[Haber])</f>
        <v>0</v>
      </c>
    </row>
    <row r="44" spans="1:5" x14ac:dyDescent="0.25">
      <c r="A44" t="s">
        <v>3716</v>
      </c>
      <c r="B44" t="s">
        <v>0</v>
      </c>
      <c r="C44" t="s">
        <v>1</v>
      </c>
      <c r="D44" s="4" t="s">
        <v>2</v>
      </c>
      <c r="E44" s="4" t="s">
        <v>3</v>
      </c>
    </row>
    <row r="45" spans="1:5" x14ac:dyDescent="0.25">
      <c r="D45" s="4"/>
      <c r="E45" s="4"/>
    </row>
    <row r="46" spans="1:5" x14ac:dyDescent="0.25">
      <c r="A46" t="s">
        <v>4</v>
      </c>
      <c r="D46" s="4">
        <f>SUBTOTAL(109,tbl_registro_mayor_11[Debe])</f>
        <v>0</v>
      </c>
      <c r="E46" s="4">
        <f>SUBTOTAL(109,tbl_registro_mayor_11[Haber])</f>
        <v>0</v>
      </c>
    </row>
    <row r="125" spans="9:13" x14ac:dyDescent="0.25">
      <c r="I125" t="s">
        <v>3716</v>
      </c>
      <c r="J125" t="s">
        <v>0</v>
      </c>
      <c r="K125" t="s">
        <v>1</v>
      </c>
      <c r="L125" s="4" t="s">
        <v>2</v>
      </c>
      <c r="M125" s="4" t="s">
        <v>3</v>
      </c>
    </row>
    <row r="126" spans="9:13" x14ac:dyDescent="0.25">
      <c r="L126" s="4"/>
      <c r="M126" s="4"/>
    </row>
    <row r="127" spans="9:13" x14ac:dyDescent="0.25">
      <c r="I127" t="s">
        <v>4</v>
      </c>
      <c r="L127" s="4">
        <f>SUBTOTAL(109,tbl_registro_mayor_12[Debe])</f>
        <v>0</v>
      </c>
      <c r="M127" s="4">
        <f>SUBTOTAL(109,tbl_registro_mayor_12[Haber])</f>
        <v>0</v>
      </c>
    </row>
    <row r="129" spans="9:13" x14ac:dyDescent="0.25">
      <c r="I129" t="s">
        <v>3716</v>
      </c>
      <c r="J129" t="s">
        <v>0</v>
      </c>
      <c r="K129" t="s">
        <v>1</v>
      </c>
      <c r="L129" s="4" t="s">
        <v>2</v>
      </c>
      <c r="M129" s="4" t="s">
        <v>3</v>
      </c>
    </row>
    <row r="130" spans="9:13" x14ac:dyDescent="0.25">
      <c r="L130" s="4"/>
      <c r="M130" s="4"/>
    </row>
    <row r="131" spans="9:13" x14ac:dyDescent="0.25">
      <c r="I131" t="s">
        <v>4</v>
      </c>
      <c r="L131" s="4">
        <f>SUBTOTAL(109,tbl_registro_mayor_13[Debe])</f>
        <v>0</v>
      </c>
      <c r="M131" s="4">
        <f>SUBTOTAL(109,tbl_registro_mayor_13[Haber])</f>
        <v>0</v>
      </c>
    </row>
    <row r="133" spans="9:13" x14ac:dyDescent="0.25">
      <c r="I133" t="s">
        <v>3716</v>
      </c>
      <c r="J133" t="s">
        <v>0</v>
      </c>
      <c r="K133" t="s">
        <v>1</v>
      </c>
      <c r="L133" s="4" t="s">
        <v>2</v>
      </c>
      <c r="M133" s="4" t="s">
        <v>3</v>
      </c>
    </row>
    <row r="134" spans="9:13" x14ac:dyDescent="0.25">
      <c r="L134" s="4"/>
      <c r="M134" s="4"/>
    </row>
    <row r="135" spans="9:13" x14ac:dyDescent="0.25">
      <c r="I135" t="s">
        <v>4</v>
      </c>
      <c r="L135" s="4">
        <f>SUBTOTAL(109,tbl_registro_mayor_14[Debe])</f>
        <v>0</v>
      </c>
      <c r="M135" s="4">
        <f>SUBTOTAL(109,tbl_registro_mayor_14[Haber])</f>
        <v>0</v>
      </c>
    </row>
    <row r="137" spans="9:13" x14ac:dyDescent="0.25">
      <c r="I137" t="s">
        <v>3716</v>
      </c>
      <c r="J137" t="s">
        <v>0</v>
      </c>
      <c r="K137" t="s">
        <v>1</v>
      </c>
      <c r="L137" s="4" t="s">
        <v>2</v>
      </c>
      <c r="M137" s="4" t="s">
        <v>3</v>
      </c>
    </row>
    <row r="138" spans="9:13" x14ac:dyDescent="0.25">
      <c r="L138" s="4"/>
      <c r="M138" s="4"/>
    </row>
    <row r="139" spans="9:13" x14ac:dyDescent="0.25">
      <c r="I139" t="s">
        <v>4</v>
      </c>
      <c r="L139" s="4">
        <f>SUBTOTAL(109,tbl_registro_mayor_15[Debe])</f>
        <v>0</v>
      </c>
      <c r="M139" s="4">
        <f>SUBTOTAL(109,tbl_registro_mayor_15[Haber])</f>
        <v>0</v>
      </c>
    </row>
    <row r="162" spans="9:13" x14ac:dyDescent="0.25">
      <c r="I162" t="s">
        <v>3716</v>
      </c>
      <c r="J162" t="s">
        <v>0</v>
      </c>
      <c r="K162" t="s">
        <v>1</v>
      </c>
      <c r="L162" s="4" t="s">
        <v>2</v>
      </c>
      <c r="M162" s="4" t="s">
        <v>3</v>
      </c>
    </row>
    <row r="163" spans="9:13" x14ac:dyDescent="0.25">
      <c r="L163" s="4"/>
      <c r="M163" s="4"/>
    </row>
    <row r="164" spans="9:13" x14ac:dyDescent="0.25">
      <c r="I164" t="s">
        <v>4</v>
      </c>
      <c r="L164" s="4">
        <f>SUBTOTAL(109,tbl_registro_mayor_16[Debe])</f>
        <v>0</v>
      </c>
      <c r="M164" s="4">
        <f>SUBTOTAL(109,tbl_registro_mayor_16[Haber])</f>
        <v>0</v>
      </c>
    </row>
  </sheetData>
  <phoneticPr fontId="6" type="noConversion"/>
  <pageMargins left="0.7" right="0.7" top="0.75" bottom="0.75" header="0.3" footer="0.3"/>
  <pageSetup paperSize="9" orientation="portrait"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6" t="s">
        <v>3787</v>
      </c>
      <c r="D2" s="76"/>
      <c r="E2" s="76"/>
      <c r="F2" s="76"/>
      <c r="G2" s="76"/>
      <c r="H2" s="76"/>
      <c r="I2" s="76"/>
    </row>
    <row r="3" spans="3:9" ht="20.25" x14ac:dyDescent="0.3">
      <c r="C3" s="75" t="s">
        <v>3726</v>
      </c>
      <c r="D3" s="75"/>
      <c r="E3" s="73" t="s">
        <v>3732</v>
      </c>
      <c r="F3" s="74"/>
      <c r="G3" s="74"/>
      <c r="H3" s="74"/>
      <c r="I3" s="74"/>
    </row>
    <row r="4" spans="3:9" ht="20.25" x14ac:dyDescent="0.3">
      <c r="C4" s="75" t="s">
        <v>3728</v>
      </c>
      <c r="D4" s="75"/>
      <c r="E4" s="70">
        <v>900235498</v>
      </c>
      <c r="F4" s="71"/>
      <c r="G4" s="71"/>
      <c r="H4" s="71"/>
      <c r="I4" s="71"/>
    </row>
    <row r="5" spans="3:9" ht="20.25" x14ac:dyDescent="0.3">
      <c r="C5" s="75" t="s">
        <v>3729</v>
      </c>
      <c r="D5" s="75"/>
      <c r="E5" s="70" t="s">
        <v>3734</v>
      </c>
      <c r="F5" s="71"/>
      <c r="G5" s="71"/>
      <c r="H5" s="71"/>
      <c r="I5" s="71"/>
    </row>
    <row r="6" spans="3:9" ht="20.25" x14ac:dyDescent="0.3">
      <c r="C6" s="75" t="s">
        <v>3730</v>
      </c>
      <c r="D6" s="75"/>
      <c r="E6" s="70" t="s">
        <v>3733</v>
      </c>
      <c r="F6" s="71"/>
      <c r="G6" s="71"/>
      <c r="H6" s="71"/>
      <c r="I6" s="71"/>
    </row>
    <row r="7" spans="3:9" ht="20.25" x14ac:dyDescent="0.3">
      <c r="C7" s="75" t="s">
        <v>3788</v>
      </c>
      <c r="D7" s="75"/>
      <c r="E7" s="70" t="s">
        <v>3735</v>
      </c>
      <c r="F7" s="71"/>
      <c r="G7" s="71"/>
      <c r="H7" s="71"/>
      <c r="I7" s="71"/>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A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6" t="s">
        <v>3822</v>
      </c>
      <c r="D1" s="86"/>
      <c r="E1" s="86"/>
      <c r="F1" s="86"/>
      <c r="G1" s="86"/>
    </row>
    <row r="2" spans="3:10" ht="20.25" x14ac:dyDescent="0.3">
      <c r="C2" s="84" t="s">
        <v>3726</v>
      </c>
      <c r="D2" s="85"/>
      <c r="E2" s="81" t="s">
        <v>3732</v>
      </c>
      <c r="F2" s="82"/>
      <c r="G2" s="83"/>
    </row>
    <row r="3" spans="3:10" ht="20.25" x14ac:dyDescent="0.3">
      <c r="C3" s="84" t="s">
        <v>3728</v>
      </c>
      <c r="D3" s="85"/>
      <c r="E3" s="81">
        <v>900235498</v>
      </c>
      <c r="F3" s="82"/>
      <c r="G3" s="83"/>
    </row>
    <row r="4" spans="3:10" ht="20.25" x14ac:dyDescent="0.3">
      <c r="C4" s="84" t="s">
        <v>3730</v>
      </c>
      <c r="D4" s="85"/>
      <c r="E4" s="81" t="s">
        <v>3733</v>
      </c>
      <c r="F4" s="82"/>
      <c r="G4" s="83"/>
      <c r="J4" s="4"/>
    </row>
    <row r="5" spans="3:10" ht="20.25" x14ac:dyDescent="0.3">
      <c r="C5" s="84" t="s">
        <v>3823</v>
      </c>
      <c r="D5" s="85"/>
      <c r="E5" s="81" t="s">
        <v>3824</v>
      </c>
      <c r="F5" s="82"/>
      <c r="G5" s="83"/>
    </row>
    <row r="6" spans="3:10" ht="20.25" x14ac:dyDescent="0.3">
      <c r="C6" s="84" t="s">
        <v>3825</v>
      </c>
      <c r="D6" s="85"/>
      <c r="E6" s="81" t="s">
        <v>3826</v>
      </c>
      <c r="F6" s="82"/>
      <c r="G6" s="83"/>
      <c r="J6" s="4"/>
    </row>
    <row r="7" spans="3:10" ht="20.25" x14ac:dyDescent="0.3">
      <c r="C7" s="84" t="s">
        <v>3827</v>
      </c>
      <c r="D7" s="85"/>
      <c r="E7" s="87">
        <v>10000000</v>
      </c>
      <c r="F7" s="88"/>
      <c r="G7" s="89"/>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4" t="s">
        <v>3726</v>
      </c>
      <c r="C7" s="85"/>
      <c r="D7" s="79" t="s">
        <v>3732</v>
      </c>
      <c r="E7" s="79"/>
      <c r="F7" s="79"/>
    </row>
    <row r="8" spans="2:9" ht="20.25" x14ac:dyDescent="0.3">
      <c r="B8" s="90" t="s">
        <v>3728</v>
      </c>
      <c r="C8" s="90"/>
      <c r="D8" s="79">
        <v>900235498</v>
      </c>
      <c r="E8" s="79"/>
      <c r="F8" s="79"/>
    </row>
    <row r="9" spans="2:9" ht="20.25" x14ac:dyDescent="0.3">
      <c r="B9" s="90" t="s">
        <v>3730</v>
      </c>
      <c r="C9" s="90"/>
      <c r="D9" s="79" t="s">
        <v>3733</v>
      </c>
      <c r="E9" s="79"/>
      <c r="F9" s="79"/>
    </row>
    <row r="10" spans="2:9" ht="20.25" x14ac:dyDescent="0.3">
      <c r="B10" s="90" t="s">
        <v>3823</v>
      </c>
      <c r="C10" s="90"/>
      <c r="D10" s="79" t="s">
        <v>3824</v>
      </c>
      <c r="E10" s="79"/>
      <c r="F10" s="79"/>
    </row>
    <row r="11" spans="2:9" ht="20.25" x14ac:dyDescent="0.3">
      <c r="B11" s="25" t="s">
        <v>3836</v>
      </c>
      <c r="C11" s="26"/>
      <c r="D11" s="25" t="s">
        <v>3837</v>
      </c>
    </row>
    <row r="13" spans="2:9" ht="18.75" x14ac:dyDescent="0.25">
      <c r="B13" s="91" t="s">
        <v>3838</v>
      </c>
      <c r="C13" s="92"/>
      <c r="D13" s="92"/>
      <c r="E13" s="93"/>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5"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6" t="s">
        <v>3822</v>
      </c>
      <c r="D2" s="86"/>
      <c r="E2" s="86"/>
      <c r="F2" s="86"/>
      <c r="G2" s="86"/>
    </row>
    <row r="3" spans="2:7" ht="20.25" x14ac:dyDescent="0.3">
      <c r="C3" s="84" t="s">
        <v>3726</v>
      </c>
      <c r="D3" s="85"/>
      <c r="E3" s="81" t="s">
        <v>3732</v>
      </c>
      <c r="F3" s="82"/>
      <c r="G3" s="83"/>
    </row>
    <row r="4" spans="2:7" ht="20.25" x14ac:dyDescent="0.3">
      <c r="C4" s="84" t="s">
        <v>3728</v>
      </c>
      <c r="D4" s="85"/>
      <c r="E4" s="81">
        <v>900235498</v>
      </c>
      <c r="F4" s="82"/>
      <c r="G4" s="83"/>
    </row>
    <row r="5" spans="2:7" ht="20.25" x14ac:dyDescent="0.3">
      <c r="C5" s="84" t="s">
        <v>3730</v>
      </c>
      <c r="D5" s="85"/>
      <c r="E5" s="81" t="s">
        <v>3733</v>
      </c>
      <c r="F5" s="82"/>
      <c r="G5" s="83"/>
    </row>
    <row r="6" spans="2:7" ht="20.25" x14ac:dyDescent="0.3">
      <c r="C6" s="84" t="s">
        <v>3823</v>
      </c>
      <c r="D6" s="85"/>
      <c r="E6" s="81" t="s">
        <v>3824</v>
      </c>
      <c r="F6" s="82"/>
      <c r="G6" s="83"/>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A22"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6" t="s">
        <v>3822</v>
      </c>
      <c r="D1" s="86"/>
      <c r="E1" s="86"/>
      <c r="F1" s="86"/>
      <c r="G1" s="86"/>
    </row>
    <row r="2" spans="3:19" ht="20.25" x14ac:dyDescent="0.3">
      <c r="C2" s="84" t="s">
        <v>3726</v>
      </c>
      <c r="D2" s="85"/>
      <c r="E2" s="81" t="s">
        <v>3732</v>
      </c>
      <c r="F2" s="82"/>
      <c r="G2" s="83"/>
    </row>
    <row r="3" spans="3:19" ht="20.25" x14ac:dyDescent="0.3">
      <c r="C3" s="84" t="s">
        <v>3728</v>
      </c>
      <c r="D3" s="85"/>
      <c r="E3" s="81">
        <v>900235498</v>
      </c>
      <c r="F3" s="82"/>
      <c r="G3" s="83"/>
    </row>
    <row r="4" spans="3:19" ht="20.25" x14ac:dyDescent="0.3">
      <c r="C4" s="84" t="s">
        <v>3730</v>
      </c>
      <c r="D4" s="85"/>
      <c r="E4" s="81" t="s">
        <v>3733</v>
      </c>
      <c r="F4" s="82"/>
      <c r="G4" s="83"/>
    </row>
    <row r="5" spans="3:19" ht="20.25" x14ac:dyDescent="0.3">
      <c r="C5" s="84" t="s">
        <v>3823</v>
      </c>
      <c r="D5" s="85"/>
      <c r="E5" s="81" t="s">
        <v>3824</v>
      </c>
      <c r="F5" s="82"/>
      <c r="G5" s="83"/>
    </row>
    <row r="6" spans="3:19" ht="20.25" x14ac:dyDescent="0.3">
      <c r="C6" s="84" t="s">
        <v>3825</v>
      </c>
      <c r="D6" s="85"/>
      <c r="E6" s="81" t="s">
        <v>3826</v>
      </c>
      <c r="F6" s="82"/>
      <c r="G6" s="83"/>
    </row>
    <row r="7" spans="3:19" ht="20.25" x14ac:dyDescent="0.3">
      <c r="C7" s="84" t="s">
        <v>3978</v>
      </c>
      <c r="D7" s="85"/>
      <c r="E7" s="87">
        <f>tbl_libro_auxiliar_bancos[[#Totals],[Saldo]]</f>
        <v>8430820</v>
      </c>
      <c r="F7" s="88"/>
      <c r="G7" s="89"/>
    </row>
    <row r="8" spans="3:19" ht="20.25" x14ac:dyDescent="0.3">
      <c r="C8" s="84" t="s">
        <v>3979</v>
      </c>
      <c r="D8" s="85"/>
      <c r="E8" s="87">
        <f>'Extracto Cta Bancolombia'!F60</f>
        <v>11452141.09</v>
      </c>
      <c r="F8" s="88"/>
      <c r="G8" s="89"/>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5" t="s">
        <v>4011</v>
      </c>
      <c r="D13" s="95"/>
      <c r="E13" s="95"/>
      <c r="G13" s="95" t="s">
        <v>4044</v>
      </c>
      <c r="H13" s="95"/>
      <c r="I13" s="95"/>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6" t="s">
        <v>4012</v>
      </c>
      <c r="D23" s="96"/>
      <c r="E23" s="96"/>
      <c r="G23" s="96" t="s">
        <v>4045</v>
      </c>
      <c r="H23" s="96"/>
      <c r="I23" s="96"/>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7" t="s">
        <v>4013</v>
      </c>
      <c r="D32" s="97"/>
      <c r="E32" s="97"/>
      <c r="G32" s="97" t="s">
        <v>4051</v>
      </c>
      <c r="H32" s="97"/>
      <c r="I32" s="97"/>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8" t="s">
        <v>4014</v>
      </c>
      <c r="D46" s="98"/>
      <c r="E46" s="98"/>
      <c r="G46" s="98" t="s">
        <v>4046</v>
      </c>
      <c r="H46" s="98"/>
      <c r="I46" s="98"/>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7" t="s">
        <v>4015</v>
      </c>
      <c r="D52" s="97"/>
      <c r="E52" s="97"/>
      <c r="G52" s="97" t="s">
        <v>4047</v>
      </c>
      <c r="H52" s="97"/>
      <c r="I52" s="97"/>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8" t="s">
        <v>4016</v>
      </c>
      <c r="D58" s="98"/>
      <c r="E58" s="98"/>
      <c r="G58" s="98" t="s">
        <v>4048</v>
      </c>
      <c r="H58" s="98"/>
      <c r="I58" s="98"/>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7" t="s">
        <v>4017</v>
      </c>
      <c r="D64" s="97"/>
      <c r="E64" s="97"/>
      <c r="G64" s="97" t="s">
        <v>4049</v>
      </c>
      <c r="H64" s="97"/>
      <c r="I64" s="97"/>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8" t="s">
        <v>4018</v>
      </c>
      <c r="D70" s="98"/>
      <c r="E70" s="98"/>
      <c r="G70" s="98" t="s">
        <v>4050</v>
      </c>
      <c r="H70" s="98"/>
      <c r="I70" s="98"/>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4" t="s">
        <v>4001</v>
      </c>
      <c r="D74" s="94"/>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4" t="s">
        <v>4043</v>
      </c>
      <c r="H74" s="94"/>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apertura_caja_menor</vt:lpstr>
      <vt:lpstr>Hoja_trabajo</vt:lpstr>
      <vt:lpstr>Reconocimiento_reembolso_CM</vt:lpstr>
      <vt:lpstr>Libro Mayor</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2024-06-13T17:39:23Z</dcterms:modified>
</cp:coreProperties>
</file>