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11.xml" ContentType="application/vnd.openxmlformats-officedocument.spreadsheetml.table+xml"/>
  <Override PartName="/xl/drawings/drawing10.xml" ContentType="application/vnd.openxmlformats-officedocument.drawing+xml"/>
  <Override PartName="/xl/tables/table12.xml" ContentType="application/vnd.openxmlformats-officedocument.spreadsheetml.table+xml"/>
  <Override PartName="/xl/drawings/drawing11.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2.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02F450DA-806F-4564-BDCB-48255F67BD87}" xr6:coauthVersionLast="47" xr6:coauthVersionMax="47" xr10:uidLastSave="{00000000-0000-0000-0000-000000000000}"/>
  <bookViews>
    <workbookView xWindow="-120" yWindow="-120" windowWidth="20730" windowHeight="11040" firstSheet="9" activeTab="11"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Consulta Extracto" sheetId="18" r:id="rId9"/>
    <sheet name="Extracto Cta Bancolombia" sheetId="12" r:id="rId10"/>
    <sheet name="hoja_trabajo_conciliacion_banca" sheetId="16" r:id="rId11"/>
    <sheet name="Conciliacion Bancaria" sheetId="17" r:id="rId12"/>
    <sheet name="Instrumentos financieros" sheetId="13"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<sst xmlns="http://schemas.openxmlformats.org/spreadsheetml/2006/main" count="5997" uniqueCount="4080">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</sst>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8">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xf numFmtId="0" fontId="0" fillId="11" borderId="0" xfId="0" applyNumberFormat="1" applyFill="1"/>
    <xf numFmtId="0" fontId="0" fillId="12" borderId="0" xfId="0" applyNumberFormat="1" applyFill="1"/>
    <xf numFmtId="0" fontId="0" fillId="13" borderId="0" xfId="0" applyNumberFormat="1" applyFill="1"/>
  </cellXfs>
  <cellStyles count="2">
    <cellStyle name="Normal" xfId="0" builtinId="0"/>
    <cellStyle name="Normal_Hoja1" xfId="1" xr:uid="{D994A72B-16E2-4B3C-BA18-D4ECA9711272}"/>
  </cellStyles>
  <dxfs count="243">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9" formatCode="dd/mm/yyyy"/>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19" formatCode="dd/mm/yyyy"/>
      <fill>
        <patternFill patternType="none">
          <fgColor indexed="64"/>
          <bgColor auto="1"/>
        </patternFill>
      </fill>
    </dxf>
    <dxf>
      <numFmt numFmtId="0" formatCode="General"/>
    </dxf>
    <dxf>
      <numFmt numFmtId="0" formatCode="General"/>
    </dxf>
    <dxf>
      <numFmt numFmtId="19" formatCode="dd/mm/yyyy"/>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TablasDesdeDetalle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42">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41" totalsRowDxfId="240"/>
    <tableColumn id="4" xr3:uid="{A8C3DCB1-A1AA-4F29-AB1E-0A2E682C3530}" name="Cantidad" totalsRowFunction="sum" dataDxfId="239" totalsRowDxfId="238"/>
    <tableColumn id="5" xr3:uid="{614B29C1-F3BF-4DF9-904D-94721E98CBEC}" name="Dcto." totalsRowFunction="sum" dataDxfId="237" totalsRowDxfId="236"/>
    <tableColumn id="6" xr3:uid="{5F152225-0439-4330-A9A1-E874E7F9AFC3}" name="IVA %" totalsRowFunction="sum" dataDxfId="235" totalsRowDxfId="234"/>
    <tableColumn id="7" xr3:uid="{3B53B34F-4EAA-4944-9CED-32BC39517FAB}" name="Valor total" totalsRowFunction="sum" dataDxfId="233" totalsRowDxfId="232"/>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31" totalsRowDxfId="230"/>
    <tableColumn id="4" xr3:uid="{334E5B37-F36E-4327-A1A1-871F7172D729}" name="Cantidad" totalsRowFunction="sum" dataDxfId="229" totalsRowDxfId="228"/>
    <tableColumn id="5" xr3:uid="{C8E09F96-E344-4397-A22C-842F27212EB7}" name="% Ganancia"/>
    <tableColumn id="6" xr3:uid="{4785F2DB-38BC-4DAD-B87E-948CB98343E5}" name="Valor total" totalsRowFunction="sum" dataDxfId="227" totalsRowDxfId="226">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25"/>
    <tableColumn id="4" xr3:uid="{566487BE-7A8F-479C-BC98-6CE36583601D}" name="Debe" totalsRowFunction="sum" dataDxfId="224" totalsRowDxfId="223"/>
    <tableColumn id="5" xr3:uid="{0FDDDE24-7D3E-40D9-A7CF-C1ABAD690151}" name="Haber" totalsRowFunction="sum" dataDxfId="222" totalsRowDxfId="2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20" totalsRowDxfId="219"/>
    <tableColumn id="7" xr3:uid="{876CB599-EEB3-45DF-9CFA-4DB44A3B52AC}" name="IVA" totalsRowFunction="sum" dataDxfId="218" totalsRowDxfId="217"/>
    <tableColumn id="8" xr3:uid="{42FB424A-7513-4114-876B-F0B2EDBF4CD2}" name="Valor con IVA" totalsRowFunction="sum" dataDxfId="216" totalsRowDxfId="2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14" totalsRowDxfId="213"/>
    <tableColumn id="3" xr3:uid="{71B39168-8F5B-47CF-9237-6F6FC655C0B9}" name="Valor" totalsRowFunction="sum" dataDxfId="212" totalsRowDxfId="2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10" totalsRowDxfId="209"/>
    <tableColumn id="3" xr3:uid="{0461D468-C8E3-4599-951F-F7946A646CCE}" name="Valor" totalsRowFunction="sum" dataDxfId="208" totalsRowDxfId="20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06" totalsRowDxfId="205"/>
    <tableColumn id="4" xr3:uid="{B45669F8-9524-44A4-A62E-8950B2BA2222}" name="Debe" totalsRowFunction="sum" dataDxfId="204" totalsRowDxfId="203"/>
    <tableColumn id="5" xr3:uid="{D708AA91-103B-44B4-8E9C-257B6509A4BC}" name="Haber" totalsRowFunction="sum" dataDxfId="202" totalsRowDxfId="20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00"/>
    <tableColumn id="5" xr3:uid="{9429A308-5036-4C32-9507-C5B26AB665B6}" name="Debe" totalsRowFunction="sum" dataDxfId="199" totalsRowDxfId="198"/>
    <tableColumn id="6" xr3:uid="{055351D5-5F7F-4D1E-998C-342FCF670354}" name="Haber" totalsRowFunction="sum" dataDxfId="197" totalsRowDxfId="19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195" dataDxfId="194" totalsRowDxfId="193">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192" totalsRowDxfId="191"/>
    <tableColumn id="2" xr3:uid="{D3FF3515-9047-4BBB-869A-D2E11918C23B}" name="Detalle" dataDxfId="190" totalsRowDxfId="189"/>
    <tableColumn id="3" xr3:uid="{8759BD7C-9D88-4606-89D6-DD4F7BB40422}" name="Documento" dataDxfId="188" totalsRowDxfId="187"/>
    <tableColumn id="4" xr3:uid="{C36E1D5A-C1C0-4543-B5D9-9FBB3E24D5F2}" name="Debe" totalsRowFunction="sum" dataDxfId="186" totalsRowDxfId="185"/>
    <tableColumn id="5" xr3:uid="{27E80D36-9F48-4468-8839-F41EFD7A554F}" name="Haber" totalsRowFunction="sum" dataDxfId="184" totalsRowDxfId="183"/>
    <tableColumn id="6" xr3:uid="{0791213B-FED9-40D3-9C22-17D8FA6639DE}" name="Saldo" totalsRowFunction="custom" dataDxfId="182" totalsRowDxfId="181">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40"/>
    <tableColumn id="7" xr3:uid="{1AE08FDB-546F-42C4-A9BC-45B45CC2B4FA}" uniqueName="7" name="Detalle" queryTableFieldId="2" dataDxfId="39"/>
    <tableColumn id="8" xr3:uid="{162ECDE3-CC33-4D85-9E9B-33316B38BE3A}" uniqueName="8" name="Documento" queryTableFieldId="3" dataDxfId="38"/>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180" dataDxfId="34" totalsRowDxfId="179">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37" totalsRowDxfId="33"/>
    <tableColumn id="2" xr3:uid="{054A8930-BAEE-4B5B-B56A-CBCAB37B55C1}" name="Detalle" dataDxfId="36" totalsRowDxfId="32"/>
    <tableColumn id="3" xr3:uid="{83D7B0F5-FE48-412F-AE9E-7CD9CF616640}" name="Documento" dataDxfId="35" totalsRowDxfId="31"/>
    <tableColumn id="4" xr3:uid="{D7CD5589-8EA4-4582-A2F6-06E76B66BAD3}" name="Valor" totalsRowFunction="sum" dataDxfId="178" totalsRowDxfId="30"/>
    <tableColumn id="5" xr3:uid="{6ADA082B-577A-46D0-A3F5-EB19E21A3E9A}" name="Saldo" totalsRowFunction="custom" dataDxfId="177" totalsRowDxfId="29">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76" totalsRowDxfId="2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75" totalsRow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173" totalsRowDxfId="27"/>
    <tableColumn id="2" xr3:uid="{6AEFDE4D-5858-499D-B665-A6E55CDD0F7F}" name="Documento" dataDxfId="172" totalsRowDxfId="26"/>
    <tableColumn id="3" xr3:uid="{9CC3CC01-E374-4785-8298-2387AFF901DF}" name="Valor" totalsRowFunction="sum" dataDxfId="171" totalsRowDxfId="2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70">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69" totalsRowDxfId="24"/>
    <tableColumn id="2" xr3:uid="{3102E91D-43C6-4667-B150-97CFEC2BA120}" name="Documento" dataDxfId="168" totalsRowDxfId="23"/>
    <tableColumn id="3" xr3:uid="{0ADBE507-66D1-4C96-B31A-ADBECDED9694}" name="Valor" totalsRowFunction="sum" dataDxfId="167" totalsRowDxfId="2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66">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65" totalsRowDxfId="21"/>
    <tableColumn id="2" xr3:uid="{0A648ABE-BC4C-4B1E-ADFC-12B28549B905}" name="Documento" dataDxfId="164" totalsRowDxfId="20"/>
    <tableColumn id="3" xr3:uid="{CA039FE4-2EF5-4F40-90C3-B80CADA98B83}" name="Valor" totalsRowFunction="sum" dataDxfId="163" totalsRowDxfId="1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62">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61" totalsRowDxfId="18"/>
    <tableColumn id="2" xr3:uid="{D1C80000-E34C-48FA-BDAE-3D7C10910D33}" name="Documento" dataDxfId="160" totalsRowDxfId="17"/>
    <tableColumn id="3" xr3:uid="{BA986B08-9E76-45FD-B093-F9255E76D4C4}" name="Valor" totalsRowFunction="sum" dataDxfId="159" totalsRow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58">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57" totalsRowDxfId="15"/>
    <tableColumn id="2" xr3:uid="{BE48C6ED-858E-4A4A-B997-30DB01762594}" name="Documento" dataDxfId="156" totalsRowDxfId="14"/>
    <tableColumn id="3" xr3:uid="{A147792C-0F10-4874-87AC-88DA85A964CA}" name="Valor" totalsRowFunction="sum" dataDxfId="155" totalsRowDxfId="1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54">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53" totalsRowDxfId="12"/>
    <tableColumn id="2" xr3:uid="{1DD5A06D-F8B3-422E-9DF5-5F401BA772E0}" name="Documento" dataDxfId="152" totalsRowDxfId="11"/>
    <tableColumn id="3" xr3:uid="{A905D5C3-C712-4BC1-B850-7FAC5FCC9ECC}" name="Valor" totalsRowFunction="sum" dataDxfId="151" totalsRowDxfId="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9" dataCellStyle="Normal"/>
    <tableColumn id="2" xr3:uid="{BB6AA3CF-2F58-4ED7-B754-9A6CD234B560}" name="Documento" totalsRowDxfId="8" dataCellStyle="Normal"/>
    <tableColumn id="3" xr3:uid="{18F21E44-BC5B-484E-B824-3397BD3C0C5C}" name="Valor" totalsRowFunction="sum" dataDxfId="150" totalsRowDxfId="7" dataCellStyle="Normal"/>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49"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48" totalsRowDxfId="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47" totalsRowDxfId="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46" totalsRowDxfId="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45" totalsRowDxfId="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44" totalsRowDxfId="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43" totalsRowDxf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42" totalsRowDxfId="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41" totalsRowDxfId="1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39" totalsRowDxfId="138"/>
    <tableColumn id="4" xr3:uid="{DAAE6A04-7E86-4107-A73E-A49084C37A77}" name="Haber" totalsRowFunction="sum" dataDxfId="137" totalsRowDxfId="13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35" totalsRowDxfId="134"/>
    <tableColumn id="4" xr3:uid="{243B575A-4E5E-49F1-B633-301542AB5732}" name="Haber" totalsRowFunction="sum" dataDxfId="133" totalsRowDxfId="13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31" totalsRowDxfId="130"/>
    <tableColumn id="4" xr3:uid="{9C5E7894-3679-4E30-B50C-35BA7674C168}" name="Haber" totalsRowFunction="sum" dataDxfId="129" totalsRowDxfId="12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27" totalsRowDxfId="126"/>
    <tableColumn id="4" xr3:uid="{14CFE248-F059-4F52-91F7-965B105085AF}" name="Haber" totalsRowFunction="sum" dataDxfId="125" totalsRowDxfId="12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23" totalsRowDxfId="122"/>
    <tableColumn id="4" xr3:uid="{4B130E2A-F81A-4B12-841F-384CD4E4E208}" name="Haber" totalsRowFunction="sum" dataDxfId="121" totalsRowDxfId="12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19" totalsRowDxfId="118"/>
    <tableColumn id="4" xr3:uid="{ED2E782F-97BB-478A-B192-D6C97AFE2049}" name="Haber" totalsRowFunction="sum" dataDxfId="117" totalsRowDxfId="11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15" totalsRowDxfId="114">
      <calculatedColumnFormula>E127+E128</calculatedColumnFormula>
    </tableColumn>
    <tableColumn id="4" xr3:uid="{2D241872-0B21-4220-BB55-8FA9CF3BDEBC}" name="Haber" totalsRowFunction="sum" dataDxfId="113" totalsRowDxfId="11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11" totalsRowDxfId="110"/>
    <tableColumn id="3" xr3:uid="{C8DA64B3-5A04-483E-B3FF-526DA72EAF4B}" name="Interes" totalsRowFunction="sum" dataDxfId="109" totalsRowDxfId="108"/>
    <tableColumn id="4" xr3:uid="{6D8EBC55-606C-4284-AA47-2B69DB2011FF}" name="Cuota" totalsRowFunction="sum" dataDxfId="107" totalsRowDxfId="106"/>
    <tableColumn id="5" xr3:uid="{58AC5A18-A329-4A3B-8EE4-4A12D7577EDA}" name="Saldo" totalsRowFunction="sum" totalsRowDxfId="10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04" totalsRowDxfId="103"/>
    <tableColumn id="4" xr3:uid="{4677B9FA-A42C-414A-8717-B780F3E27FA4}" name="Haber" totalsRowFunction="sum" dataDxfId="102" totalsRowDxfId="10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00" totalsRowDxfId="99"/>
    <tableColumn id="4" xr3:uid="{89FE12DA-22B1-45E4-94D6-3A6C8991A523}" name="Haber" totalsRowFunction="sum" dataDxfId="98" totalsRowDxfId="9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96" totalsRowDxfId="95"/>
    <tableColumn id="4" xr3:uid="{412DFE33-BC60-49EE-8850-5497528DFF88}" name="Haber" totalsRowFunction="sum" dataDxfId="94" totalsRowDxfId="9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92" totalsRowDxfId="91"/>
    <tableColumn id="4" xr3:uid="{F75BD319-D3E6-4DF6-894C-F4497FF0B20C}" name="Haber" totalsRowFunction="sum" dataDxfId="90" totalsRowDxfId="8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88" totalsRowDxfId="87"/>
    <tableColumn id="4" xr3:uid="{FE11E439-C1D8-416C-AAC7-B0ECD68C978C}" name="Haber" totalsRowFunction="sum" dataDxfId="86" totalsRowDxfId="8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84" totalsRowDxfId="83"/>
    <tableColumn id="4" xr3:uid="{37160474-1F6C-4D02-91D8-18CBB9047285}" name="Haber" totalsRowFunction="sum" dataDxfId="82" totalsRowDxfId="8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80" totalsRowDxfId="79"/>
    <tableColumn id="4" xr3:uid="{5A2650BB-019B-4084-850D-DD5AFE3BE50E}" name="Haber" totalsRowFunction="sum" dataDxfId="78" totalsRowDxfId="7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76" totalsRowDxfId="75"/>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74" totalsRowDxfId="73"/>
    <tableColumn id="3" xr3:uid="{FF418158-48A0-43C9-B333-E877554673EC}" name="Interes" totalsRowFunction="sum" dataDxfId="72" totalsRowDxfId="71"/>
    <tableColumn id="4" xr3:uid="{3384BC44-21A8-4BD8-9235-D612F8E58F5D}" name="Cuota" totalsRowFunction="sum" dataDxfId="70" totalsRowDxfId="69"/>
    <tableColumn id="5" xr3:uid="{D47F5177-F0FC-4100-851B-893D901D5AC7}" name="Saldo" totalsRowFunction="count" dataDxfId="6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67" totalsRowDxfId="66"/>
    <tableColumn id="4" xr3:uid="{E1D0EE40-D208-42A4-A3C6-CBF48856703D}" name="Haber" totalsRowFunction="sum" dataDxfId="65" totalsRow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63" totalsRowDxfId="62"/>
    <tableColumn id="4" xr3:uid="{1BBE9969-3F6D-4468-B5ED-EE6C44EE6216}" name="Haber" totalsRowFunction="sum" dataDxfId="61" totalsRow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59" totalsRowDxfId="58"/>
    <tableColumn id="4" xr3:uid="{1CE844E5-37E1-4E88-958F-F8317F23B841}" name="Haber" totalsRowFunction="sum" dataDxfId="57" totalsRowDxfId="5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55" totalsRowDxfId="54"/>
    <tableColumn id="4" xr3:uid="{475B5169-A884-44F4-88DF-29BB8346B501}" name="Haber" totalsRowFunction="sum" dataDxfId="53" totalsRowDxfId="5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51" totalsRowDxfId="50"/>
    <tableColumn id="4" xr3:uid="{A06346F3-32B7-45B6-940E-825880D575AC}" name="Haber" totalsRowFunction="sum" dataDxfId="49" totalsRowDxfId="48"/>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47" dataDxfId="45" headerRowBorderDxfId="46" tableBorderDxfId="44" totalsRowBorderDxfId="43" headerRowCellStyle="Normal_Hoja1" dataCellStyle="Normal_Hoja1">
  <autoFilter ref="A1:B2473" xr:uid="{84F4EBC0-8A41-414B-83A3-EED00469B752}"/>
  <tableColumns count="2">
    <tableColumn id="1" xr3:uid="{37DE6704-8DB2-47A7-9BCD-1A097FAFA87B}" name="Codigo" dataDxfId="42" dataCellStyle="Normal_Hoja1"/>
    <tableColumn id="2" xr3:uid="{898CFDA3-DCFE-4321-A705-0E574E55217B}" name="Nombre" dataDxfId="41"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drawing" Target="../drawings/drawing11.xml"/><Relationship Id="rId16" Type="http://schemas.openxmlformats.org/officeDocument/2006/relationships/table" Target="../tables/table26.xml"/><Relationship Id="rId1" Type="http://schemas.openxmlformats.org/officeDocument/2006/relationships/printerSettings" Target="../printerSettings/printerSettings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 Type="http://schemas.openxmlformats.org/officeDocument/2006/relationships/table" Target="../tables/table30.xml"/><Relationship Id="rId21" Type="http://schemas.openxmlformats.org/officeDocument/2006/relationships/table" Target="../tables/table48.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2" Type="http://schemas.openxmlformats.org/officeDocument/2006/relationships/drawing" Target="../drawings/drawing12.xml"/><Relationship Id="rId16" Type="http://schemas.openxmlformats.org/officeDocument/2006/relationships/table" Target="../tables/table43.xml"/><Relationship Id="rId20" Type="http://schemas.openxmlformats.org/officeDocument/2006/relationships/table" Target="../tables/table47.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8" t="s">
        <v>3787</v>
      </c>
      <c r="D1" s="68"/>
      <c r="E1" s="68"/>
      <c r="F1" s="68"/>
      <c r="G1" s="68"/>
      <c r="H1" s="68"/>
      <c r="I1" s="68"/>
    </row>
    <row r="2" spans="1:9" ht="20.25" x14ac:dyDescent="0.3">
      <c r="C2" s="65" t="s">
        <v>3726</v>
      </c>
      <c r="D2" s="65"/>
      <c r="E2" s="69" t="s">
        <v>3732</v>
      </c>
      <c r="F2" s="70"/>
      <c r="G2" s="70"/>
      <c r="H2" s="70"/>
      <c r="I2" s="70"/>
    </row>
    <row r="3" spans="1:9" ht="20.25" x14ac:dyDescent="0.3">
      <c r="C3" s="65" t="s">
        <v>3728</v>
      </c>
      <c r="D3" s="65"/>
      <c r="E3" s="66">
        <v>900235498</v>
      </c>
      <c r="F3" s="67"/>
      <c r="G3" s="67"/>
      <c r="H3" s="67"/>
      <c r="I3" s="67"/>
    </row>
    <row r="4" spans="1:9" ht="20.25" x14ac:dyDescent="0.3">
      <c r="C4" s="65" t="s">
        <v>3729</v>
      </c>
      <c r="D4" s="65"/>
      <c r="E4" s="66" t="s">
        <v>3734</v>
      </c>
      <c r="F4" s="67"/>
      <c r="G4" s="67"/>
      <c r="H4" s="67"/>
      <c r="I4" s="67"/>
    </row>
    <row r="5" spans="1:9" ht="20.25" x14ac:dyDescent="0.3">
      <c r="C5" s="65" t="s">
        <v>3730</v>
      </c>
      <c r="D5" s="65"/>
      <c r="E5" s="66" t="s">
        <v>3733</v>
      </c>
      <c r="F5" s="67"/>
      <c r="G5" s="67"/>
      <c r="H5" s="67"/>
      <c r="I5" s="67"/>
    </row>
    <row r="6" spans="1:9" ht="20.25" x14ac:dyDescent="0.3">
      <c r="C6" s="65" t="s">
        <v>3788</v>
      </c>
      <c r="D6" s="65"/>
      <c r="E6" s="66" t="s">
        <v>3735</v>
      </c>
      <c r="F6" s="67"/>
      <c r="G6" s="67"/>
      <c r="H6" s="67"/>
      <c r="I6" s="67"/>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2" t="s">
        <v>3787</v>
      </c>
      <c r="D1" s="72"/>
      <c r="E1" s="72"/>
      <c r="F1" s="72"/>
      <c r="G1" s="72"/>
      <c r="H1" s="72"/>
      <c r="I1" s="72"/>
    </row>
    <row r="2" spans="3:9" ht="20.25" x14ac:dyDescent="0.3">
      <c r="C2" s="71" t="s">
        <v>3726</v>
      </c>
      <c r="D2" s="71"/>
      <c r="E2" s="69" t="s">
        <v>3732</v>
      </c>
      <c r="F2" s="70"/>
      <c r="G2" s="70"/>
      <c r="H2" s="70"/>
      <c r="I2" s="70"/>
    </row>
    <row r="3" spans="3:9" ht="20.25" x14ac:dyDescent="0.3">
      <c r="C3" s="71" t="s">
        <v>3728</v>
      </c>
      <c r="D3" s="71"/>
      <c r="E3" s="66">
        <v>900235498</v>
      </c>
      <c r="F3" s="67"/>
      <c r="G3" s="67"/>
      <c r="H3" s="67"/>
      <c r="I3" s="67"/>
    </row>
    <row r="4" spans="3:9" ht="20.25" x14ac:dyDescent="0.3">
      <c r="C4" s="71" t="s">
        <v>3729</v>
      </c>
      <c r="D4" s="71"/>
      <c r="E4" s="66" t="s">
        <v>3734</v>
      </c>
      <c r="F4" s="67"/>
      <c r="G4" s="67"/>
      <c r="H4" s="67"/>
      <c r="I4" s="67"/>
    </row>
    <row r="5" spans="3:9" ht="20.25" x14ac:dyDescent="0.3">
      <c r="C5" s="71" t="s">
        <v>3730</v>
      </c>
      <c r="D5" s="71"/>
      <c r="E5" s="66" t="s">
        <v>3733</v>
      </c>
      <c r="F5" s="67"/>
      <c r="G5" s="67"/>
      <c r="H5" s="67"/>
      <c r="I5" s="67"/>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4" t="s">
        <v>3727</v>
      </c>
      <c r="C2" s="74"/>
      <c r="D2" s="74"/>
      <c r="E2" s="74"/>
      <c r="F2" s="74"/>
    </row>
    <row r="3" spans="2:6" ht="20.25" x14ac:dyDescent="0.3">
      <c r="B3" s="73" t="s">
        <v>3726</v>
      </c>
      <c r="C3" s="73"/>
      <c r="D3" s="67" t="s">
        <v>3732</v>
      </c>
      <c r="E3" s="67"/>
      <c r="F3" s="67"/>
    </row>
    <row r="4" spans="2:6" ht="20.25" x14ac:dyDescent="0.3">
      <c r="B4" s="73" t="s">
        <v>3728</v>
      </c>
      <c r="C4" s="73"/>
      <c r="D4" s="67">
        <v>900235498</v>
      </c>
      <c r="E4" s="67"/>
      <c r="F4" s="67"/>
    </row>
    <row r="5" spans="2:6" ht="20.25" x14ac:dyDescent="0.3">
      <c r="B5" s="73" t="s">
        <v>3729</v>
      </c>
      <c r="C5" s="73"/>
      <c r="D5" s="67" t="s">
        <v>3734</v>
      </c>
      <c r="E5" s="67"/>
      <c r="F5" s="67"/>
    </row>
    <row r="6" spans="2:6" ht="20.25" x14ac:dyDescent="0.3">
      <c r="B6" s="73" t="s">
        <v>3730</v>
      </c>
      <c r="C6" s="73"/>
      <c r="D6" s="67" t="s">
        <v>3733</v>
      </c>
      <c r="E6" s="67"/>
      <c r="F6" s="67"/>
    </row>
    <row r="7" spans="2:6" ht="20.25" x14ac:dyDescent="0.3">
      <c r="B7" s="73" t="s">
        <v>3731</v>
      </c>
      <c r="C7" s="73"/>
      <c r="D7" s="67" t="s">
        <v>3735</v>
      </c>
      <c r="E7" s="67"/>
      <c r="F7" s="67"/>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27"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2" t="s">
        <v>3784</v>
      </c>
      <c r="C2" s="72"/>
      <c r="D2" s="72"/>
      <c r="E2" s="72"/>
      <c r="F2" s="72"/>
      <c r="G2" s="72"/>
      <c r="H2" s="72"/>
      <c r="I2" s="72"/>
    </row>
    <row r="3" spans="2:9" ht="20.25" x14ac:dyDescent="0.3">
      <c r="B3" s="71" t="s">
        <v>3726</v>
      </c>
      <c r="C3" s="71"/>
      <c r="D3" s="75" t="s">
        <v>3732</v>
      </c>
      <c r="E3" s="75"/>
      <c r="F3" s="75"/>
      <c r="G3" s="75"/>
      <c r="H3" s="75"/>
      <c r="I3" s="75"/>
    </row>
    <row r="4" spans="2:9" ht="20.25" x14ac:dyDescent="0.3">
      <c r="B4" s="71" t="s">
        <v>3728</v>
      </c>
      <c r="C4" s="71"/>
      <c r="D4" s="75">
        <v>900235498</v>
      </c>
      <c r="E4" s="75"/>
      <c r="F4" s="75"/>
      <c r="G4" s="75"/>
      <c r="H4" s="75"/>
      <c r="I4" s="75"/>
    </row>
    <row r="5" spans="2:9" ht="20.25" x14ac:dyDescent="0.3">
      <c r="B5" s="71" t="s">
        <v>3729</v>
      </c>
      <c r="C5" s="71"/>
      <c r="D5" s="75" t="s">
        <v>3734</v>
      </c>
      <c r="E5" s="75"/>
      <c r="F5" s="75"/>
      <c r="G5" s="75"/>
      <c r="H5" s="75"/>
      <c r="I5" s="75"/>
    </row>
    <row r="6" spans="2:9" ht="20.25" x14ac:dyDescent="0.3">
      <c r="B6" s="71" t="s">
        <v>3730</v>
      </c>
      <c r="C6" s="71"/>
      <c r="D6" s="75" t="s">
        <v>3733</v>
      </c>
      <c r="E6" s="75"/>
      <c r="F6" s="75"/>
      <c r="G6" s="75"/>
      <c r="H6" s="75"/>
      <c r="I6" s="75"/>
    </row>
    <row r="7" spans="2:9" ht="20.25" x14ac:dyDescent="0.3">
      <c r="B7" s="71" t="s">
        <v>3731</v>
      </c>
      <c r="C7" s="71"/>
      <c r="D7" s="75" t="s">
        <v>3735</v>
      </c>
      <c r="E7" s="75"/>
      <c r="F7" s="75"/>
      <c r="G7" s="75"/>
      <c r="H7" s="75"/>
      <c r="I7" s="75"/>
    </row>
    <row r="9" spans="2:9" ht="20.25" x14ac:dyDescent="0.3">
      <c r="F9" s="71" t="s">
        <v>3774</v>
      </c>
      <c r="G9" s="71"/>
      <c r="H9" s="76">
        <v>1700000</v>
      </c>
      <c r="I9" s="76"/>
    </row>
    <row r="10" spans="2:9" ht="20.25" x14ac:dyDescent="0.3">
      <c r="F10" s="71" t="s">
        <v>3775</v>
      </c>
      <c r="G10" s="71"/>
      <c r="H10" s="76">
        <v>1529200</v>
      </c>
      <c r="I10" s="76"/>
    </row>
    <row r="11" spans="2:9" ht="20.25" x14ac:dyDescent="0.3">
      <c r="F11" s="71" t="s">
        <v>3776</v>
      </c>
      <c r="G11" s="71"/>
      <c r="H11" s="76">
        <v>1529200</v>
      </c>
      <c r="I11" s="76"/>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1" t="s">
        <v>3781</v>
      </c>
      <c r="C34" s="71"/>
      <c r="D34" s="71"/>
      <c r="F34" s="71" t="s">
        <v>3782</v>
      </c>
      <c r="G34" s="71"/>
      <c r="H34" s="71"/>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1" t="s">
        <v>3781</v>
      </c>
      <c r="C44" s="71"/>
      <c r="D44" s="71"/>
      <c r="E44" s="6">
        <v>143000</v>
      </c>
      <c r="F44" s="7"/>
    </row>
    <row r="45" spans="2:8" ht="20.25" x14ac:dyDescent="0.3">
      <c r="B45" s="71" t="s">
        <v>3782</v>
      </c>
      <c r="C45" s="71"/>
      <c r="D45" s="71"/>
      <c r="E45" s="6">
        <v>27800</v>
      </c>
      <c r="F45" s="7"/>
    </row>
    <row r="46" spans="2:8" ht="20.25" x14ac:dyDescent="0.3">
      <c r="B46" s="71" t="s">
        <v>3783</v>
      </c>
      <c r="C46" s="71"/>
      <c r="D46" s="71"/>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7"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2" t="s">
        <v>3785</v>
      </c>
      <c r="C1" s="72"/>
      <c r="D1" s="72"/>
      <c r="E1" s="72"/>
      <c r="F1" s="72"/>
      <c r="G1" s="8"/>
      <c r="H1" s="8"/>
      <c r="I1" s="8"/>
    </row>
    <row r="2" spans="2:9" ht="20.25" x14ac:dyDescent="0.3">
      <c r="B2" s="71" t="s">
        <v>3726</v>
      </c>
      <c r="C2" s="71"/>
      <c r="D2" s="75" t="s">
        <v>3732</v>
      </c>
      <c r="E2" s="75"/>
      <c r="F2" s="75"/>
      <c r="G2" s="9"/>
      <c r="H2" s="9"/>
      <c r="I2" s="9"/>
    </row>
    <row r="3" spans="2:9" ht="20.25" x14ac:dyDescent="0.3">
      <c r="B3" s="71" t="s">
        <v>3728</v>
      </c>
      <c r="C3" s="71"/>
      <c r="D3" s="75">
        <v>900235498</v>
      </c>
      <c r="E3" s="75"/>
      <c r="F3" s="75"/>
      <c r="G3" s="9"/>
      <c r="H3" s="9"/>
      <c r="I3" s="9"/>
    </row>
    <row r="4" spans="2:9" ht="20.25" x14ac:dyDescent="0.3">
      <c r="B4" s="71" t="s">
        <v>3729</v>
      </c>
      <c r="C4" s="71"/>
      <c r="D4" s="75" t="s">
        <v>3734</v>
      </c>
      <c r="E4" s="75"/>
      <c r="F4" s="75"/>
      <c r="G4" s="9"/>
      <c r="H4" s="9"/>
      <c r="I4" s="9"/>
    </row>
    <row r="5" spans="2:9" ht="20.25" x14ac:dyDescent="0.3">
      <c r="B5" s="71" t="s">
        <v>3730</v>
      </c>
      <c r="C5" s="71"/>
      <c r="D5" s="75" t="s">
        <v>3733</v>
      </c>
      <c r="E5" s="75"/>
      <c r="F5" s="75"/>
      <c r="G5" s="9"/>
      <c r="H5" s="9"/>
      <c r="I5" s="9"/>
    </row>
    <row r="6" spans="2:9" ht="20.25" x14ac:dyDescent="0.3">
      <c r="B6" s="71" t="s">
        <v>3731</v>
      </c>
      <c r="C6" s="71"/>
      <c r="D6" s="75" t="s">
        <v>3735</v>
      </c>
      <c r="E6" s="75"/>
      <c r="F6" s="75"/>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2" t="s">
        <v>3787</v>
      </c>
      <c r="D2" s="72"/>
      <c r="E2" s="72"/>
      <c r="F2" s="72"/>
      <c r="G2" s="72"/>
      <c r="H2" s="72"/>
      <c r="I2" s="72"/>
    </row>
    <row r="3" spans="3:9" ht="20.25" x14ac:dyDescent="0.3">
      <c r="C3" s="71" t="s">
        <v>3726</v>
      </c>
      <c r="D3" s="71"/>
      <c r="E3" s="69" t="s">
        <v>3732</v>
      </c>
      <c r="F3" s="70"/>
      <c r="G3" s="70"/>
      <c r="H3" s="70"/>
      <c r="I3" s="70"/>
    </row>
    <row r="4" spans="3:9" ht="20.25" x14ac:dyDescent="0.3">
      <c r="C4" s="71" t="s">
        <v>3728</v>
      </c>
      <c r="D4" s="71"/>
      <c r="E4" s="66">
        <v>900235498</v>
      </c>
      <c r="F4" s="67"/>
      <c r="G4" s="67"/>
      <c r="H4" s="67"/>
      <c r="I4" s="67"/>
    </row>
    <row r="5" spans="3:9" ht="20.25" x14ac:dyDescent="0.3">
      <c r="C5" s="71" t="s">
        <v>3729</v>
      </c>
      <c r="D5" s="71"/>
      <c r="E5" s="66" t="s">
        <v>3734</v>
      </c>
      <c r="F5" s="67"/>
      <c r="G5" s="67"/>
      <c r="H5" s="67"/>
      <c r="I5" s="67"/>
    </row>
    <row r="6" spans="3:9" ht="20.25" x14ac:dyDescent="0.3">
      <c r="C6" s="71" t="s">
        <v>3730</v>
      </c>
      <c r="D6" s="71"/>
      <c r="E6" s="66" t="s">
        <v>3733</v>
      </c>
      <c r="F6" s="67"/>
      <c r="G6" s="67"/>
      <c r="H6" s="67"/>
      <c r="I6" s="67"/>
    </row>
    <row r="7" spans="3:9" ht="20.25" x14ac:dyDescent="0.3">
      <c r="C7" s="71" t="s">
        <v>3788</v>
      </c>
      <c r="D7" s="71"/>
      <c r="E7" s="66" t="s">
        <v>3735</v>
      </c>
      <c r="F7" s="67"/>
      <c r="G7" s="67"/>
      <c r="H7" s="67"/>
      <c r="I7" s="67"/>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2" t="s">
        <v>3822</v>
      </c>
      <c r="D1" s="82"/>
      <c r="E1" s="82"/>
      <c r="F1" s="82"/>
      <c r="G1" s="82"/>
    </row>
    <row r="2" spans="3:10" ht="20.25" x14ac:dyDescent="0.3">
      <c r="C2" s="80" t="s">
        <v>3726</v>
      </c>
      <c r="D2" s="81"/>
      <c r="E2" s="77" t="s">
        <v>3732</v>
      </c>
      <c r="F2" s="78"/>
      <c r="G2" s="79"/>
    </row>
    <row r="3" spans="3:10" ht="20.25" x14ac:dyDescent="0.3">
      <c r="C3" s="80" t="s">
        <v>3728</v>
      </c>
      <c r="D3" s="81"/>
      <c r="E3" s="77">
        <v>900235498</v>
      </c>
      <c r="F3" s="78"/>
      <c r="G3" s="79"/>
    </row>
    <row r="4" spans="3:10" ht="20.25" x14ac:dyDescent="0.3">
      <c r="C4" s="80" t="s">
        <v>3730</v>
      </c>
      <c r="D4" s="81"/>
      <c r="E4" s="77" t="s">
        <v>3733</v>
      </c>
      <c r="F4" s="78"/>
      <c r="G4" s="79"/>
      <c r="J4" s="4"/>
    </row>
    <row r="5" spans="3:10" ht="20.25" x14ac:dyDescent="0.3">
      <c r="C5" s="80" t="s">
        <v>3823</v>
      </c>
      <c r="D5" s="81"/>
      <c r="E5" s="77" t="s">
        <v>3824</v>
      </c>
      <c r="F5" s="78"/>
      <c r="G5" s="79"/>
    </row>
    <row r="6" spans="3:10" ht="20.25" x14ac:dyDescent="0.3">
      <c r="C6" s="80" t="s">
        <v>3825</v>
      </c>
      <c r="D6" s="81"/>
      <c r="E6" s="77" t="s">
        <v>3826</v>
      </c>
      <c r="F6" s="78"/>
      <c r="G6" s="79"/>
      <c r="J6" s="4"/>
    </row>
    <row r="7" spans="3:10" ht="20.25" x14ac:dyDescent="0.3">
      <c r="C7" s="80" t="s">
        <v>3827</v>
      </c>
      <c r="D7" s="81"/>
      <c r="E7" s="83">
        <v>10000000</v>
      </c>
      <c r="F7" s="84"/>
      <c r="G7" s="85"/>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0" t="s">
        <v>3726</v>
      </c>
      <c r="C7" s="81"/>
      <c r="D7" s="75" t="s">
        <v>3732</v>
      </c>
      <c r="E7" s="75"/>
      <c r="F7" s="75"/>
    </row>
    <row r="8" spans="2:9" ht="20.25" x14ac:dyDescent="0.3">
      <c r="B8" s="86" t="s">
        <v>3728</v>
      </c>
      <c r="C8" s="86"/>
      <c r="D8" s="75">
        <v>900235498</v>
      </c>
      <c r="E8" s="75"/>
      <c r="F8" s="75"/>
    </row>
    <row r="9" spans="2:9" ht="20.25" x14ac:dyDescent="0.3">
      <c r="B9" s="86" t="s">
        <v>3730</v>
      </c>
      <c r="C9" s="86"/>
      <c r="D9" s="75" t="s">
        <v>3733</v>
      </c>
      <c r="E9" s="75"/>
      <c r="F9" s="75"/>
    </row>
    <row r="10" spans="2:9" ht="20.25" x14ac:dyDescent="0.3">
      <c r="B10" s="86" t="s">
        <v>3823</v>
      </c>
      <c r="C10" s="86"/>
      <c r="D10" s="75" t="s">
        <v>3824</v>
      </c>
      <c r="E10" s="75"/>
      <c r="F10" s="75"/>
    </row>
    <row r="11" spans="2:9" ht="20.25" x14ac:dyDescent="0.3">
      <c r="B11" s="25" t="s">
        <v>3836</v>
      </c>
      <c r="C11" s="26"/>
      <c r="D11" s="25" t="s">
        <v>3837</v>
      </c>
    </row>
    <row r="13" spans="2:9" ht="18.75" x14ac:dyDescent="0.25">
      <c r="B13" s="87" t="s">
        <v>3838</v>
      </c>
      <c r="C13" s="88"/>
      <c r="D13" s="88"/>
      <c r="E13" s="89"/>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95" t="s">
        <v>4052</v>
      </c>
      <c r="D20" s="95" t="s">
        <v>4002</v>
      </c>
      <c r="E20" s="44">
        <v>0.31</v>
      </c>
      <c r="F20" s="44">
        <v>10000000.310000001</v>
      </c>
    </row>
    <row r="21" spans="2:6" x14ac:dyDescent="0.25">
      <c r="B21" s="50">
        <v>45384</v>
      </c>
      <c r="C21" s="96" t="s">
        <v>4053</v>
      </c>
      <c r="D21" s="96" t="s">
        <v>3851</v>
      </c>
      <c r="E21" s="51">
        <v>3000000</v>
      </c>
      <c r="F21" s="51">
        <v>13000000.310000001</v>
      </c>
    </row>
    <row r="22" spans="2:6" x14ac:dyDescent="0.25">
      <c r="B22" s="43">
        <v>45384</v>
      </c>
      <c r="C22" s="95" t="s">
        <v>4052</v>
      </c>
      <c r="D22" s="95" t="s">
        <v>4002</v>
      </c>
      <c r="E22" s="44">
        <v>0.1</v>
      </c>
      <c r="F22" s="44">
        <v>13000000.41</v>
      </c>
    </row>
    <row r="23" spans="2:6" x14ac:dyDescent="0.25">
      <c r="B23" s="52">
        <v>45385</v>
      </c>
      <c r="C23" s="97" t="s">
        <v>4054</v>
      </c>
      <c r="D23" s="97" t="s">
        <v>3857</v>
      </c>
      <c r="E23" s="53">
        <v>5483250</v>
      </c>
      <c r="F23" s="53">
        <v>18483250.41</v>
      </c>
    </row>
    <row r="24" spans="2:6" x14ac:dyDescent="0.25">
      <c r="B24" s="43">
        <v>45385</v>
      </c>
      <c r="C24" s="95" t="s">
        <v>4055</v>
      </c>
      <c r="D24" s="95" t="s">
        <v>4008</v>
      </c>
      <c r="E24" s="44">
        <v>28000</v>
      </c>
      <c r="F24" s="44">
        <v>18511250.41</v>
      </c>
    </row>
    <row r="25" spans="2:6" x14ac:dyDescent="0.25">
      <c r="B25" s="52">
        <v>45385</v>
      </c>
      <c r="C25" s="97" t="s">
        <v>4056</v>
      </c>
      <c r="D25" s="97" t="s">
        <v>3860</v>
      </c>
      <c r="E25" s="53">
        <v>1780000</v>
      </c>
      <c r="F25" s="53">
        <v>20291250.41</v>
      </c>
    </row>
    <row r="26" spans="2:6" x14ac:dyDescent="0.25">
      <c r="B26" s="52">
        <v>45385</v>
      </c>
      <c r="C26" s="97" t="s">
        <v>4057</v>
      </c>
      <c r="D26" s="97" t="s">
        <v>3846</v>
      </c>
      <c r="E26" s="53">
        <v>-50530</v>
      </c>
      <c r="F26" s="53">
        <v>20240720.41</v>
      </c>
    </row>
    <row r="27" spans="2:6" x14ac:dyDescent="0.25">
      <c r="B27" s="52">
        <v>45386</v>
      </c>
      <c r="C27" s="97" t="s">
        <v>4058</v>
      </c>
      <c r="D27" s="97" t="s">
        <v>3849</v>
      </c>
      <c r="E27" s="53">
        <v>-5283000</v>
      </c>
      <c r="F27" s="53">
        <v>14957720.41</v>
      </c>
    </row>
    <row r="28" spans="2:6" x14ac:dyDescent="0.25">
      <c r="B28" s="43">
        <v>45386</v>
      </c>
      <c r="C28" s="95" t="s">
        <v>4052</v>
      </c>
      <c r="D28" s="95" t="s">
        <v>4002</v>
      </c>
      <c r="E28" s="44">
        <v>0.15</v>
      </c>
      <c r="F28" s="44">
        <v>14957720.560000001</v>
      </c>
    </row>
    <row r="29" spans="2:6" x14ac:dyDescent="0.25">
      <c r="B29" s="50">
        <v>45386</v>
      </c>
      <c r="C29" s="96" t="s">
        <v>4059</v>
      </c>
      <c r="D29" s="96" t="s">
        <v>3866</v>
      </c>
      <c r="E29" s="51">
        <v>780000</v>
      </c>
      <c r="F29" s="51">
        <v>15737720.560000001</v>
      </c>
    </row>
    <row r="30" spans="2:6" x14ac:dyDescent="0.25">
      <c r="B30" s="43">
        <v>45388</v>
      </c>
      <c r="C30" s="95" t="s">
        <v>4060</v>
      </c>
      <c r="D30" s="95" t="s">
        <v>3903</v>
      </c>
      <c r="E30" s="44">
        <v>-7095</v>
      </c>
      <c r="F30" s="44">
        <v>15730625.560000001</v>
      </c>
    </row>
    <row r="31" spans="2:6" x14ac:dyDescent="0.25">
      <c r="B31" s="52">
        <v>45388</v>
      </c>
      <c r="C31" s="97" t="s">
        <v>4061</v>
      </c>
      <c r="D31" s="97" t="s">
        <v>3876</v>
      </c>
      <c r="E31" s="53">
        <v>1965000</v>
      </c>
      <c r="F31" s="53">
        <v>17695625.559999999</v>
      </c>
    </row>
    <row r="32" spans="2:6" x14ac:dyDescent="0.25">
      <c r="B32" s="43">
        <v>45389</v>
      </c>
      <c r="C32" s="95" t="s">
        <v>4052</v>
      </c>
      <c r="D32" s="95" t="s">
        <v>4002</v>
      </c>
      <c r="E32" s="44">
        <v>0.32</v>
      </c>
      <c r="F32" s="44">
        <v>17695625.879999999</v>
      </c>
    </row>
    <row r="33" spans="2:6" x14ac:dyDescent="0.25">
      <c r="B33" s="43">
        <v>45389</v>
      </c>
      <c r="C33" s="95" t="s">
        <v>4062</v>
      </c>
      <c r="D33" s="95" t="s">
        <v>4007</v>
      </c>
      <c r="E33" s="44">
        <v>-20000</v>
      </c>
      <c r="F33" s="44">
        <v>17675625.879999999</v>
      </c>
    </row>
    <row r="34" spans="2:6" x14ac:dyDescent="0.25">
      <c r="B34" s="43">
        <v>45389</v>
      </c>
      <c r="C34" s="95" t="s">
        <v>4063</v>
      </c>
      <c r="D34" s="95" t="s">
        <v>3903</v>
      </c>
      <c r="E34" s="44">
        <v>-2490</v>
      </c>
      <c r="F34" s="44">
        <v>17673135.879999999</v>
      </c>
    </row>
    <row r="35" spans="2:6" x14ac:dyDescent="0.25">
      <c r="B35" s="43">
        <v>45392</v>
      </c>
      <c r="C35" s="95" t="s">
        <v>4052</v>
      </c>
      <c r="D35" s="95" t="s">
        <v>4002</v>
      </c>
      <c r="E35" s="44">
        <v>0.08</v>
      </c>
      <c r="F35" s="44">
        <v>17673135.960000001</v>
      </c>
    </row>
    <row r="36" spans="2:6" x14ac:dyDescent="0.25">
      <c r="B36" s="52">
        <v>45393</v>
      </c>
      <c r="C36" s="97" t="s">
        <v>4064</v>
      </c>
      <c r="D36" s="97" t="s">
        <v>3853</v>
      </c>
      <c r="E36" s="53">
        <v>-1600000</v>
      </c>
      <c r="F36" s="53">
        <v>16073135.960000001</v>
      </c>
    </row>
    <row r="37" spans="2:6" x14ac:dyDescent="0.25">
      <c r="B37" s="52">
        <v>45393</v>
      </c>
      <c r="C37" s="97" t="s">
        <v>4065</v>
      </c>
      <c r="D37" s="97" t="s">
        <v>3855</v>
      </c>
      <c r="E37" s="53">
        <v>-1600000</v>
      </c>
      <c r="F37" s="53">
        <v>14473135.960000001</v>
      </c>
    </row>
    <row r="38" spans="2:6" x14ac:dyDescent="0.25">
      <c r="B38" s="50">
        <v>45395</v>
      </c>
      <c r="C38" s="96" t="s">
        <v>4066</v>
      </c>
      <c r="D38" s="96" t="s">
        <v>3859</v>
      </c>
      <c r="E38" s="51">
        <v>-260000</v>
      </c>
      <c r="F38" s="51">
        <v>14213135.960000001</v>
      </c>
    </row>
    <row r="39" spans="2:6" x14ac:dyDescent="0.25">
      <c r="B39" s="52">
        <v>45395</v>
      </c>
      <c r="C39" s="97" t="s">
        <v>4067</v>
      </c>
      <c r="D39" s="97" t="s">
        <v>3862</v>
      </c>
      <c r="E39" s="53">
        <v>-238000</v>
      </c>
      <c r="F39" s="53">
        <v>13975135.960000001</v>
      </c>
    </row>
    <row r="40" spans="2:6" x14ac:dyDescent="0.25">
      <c r="B40" s="52">
        <v>45396</v>
      </c>
      <c r="C40" s="97" t="s">
        <v>4068</v>
      </c>
      <c r="D40" s="97" t="s">
        <v>3864</v>
      </c>
      <c r="E40" s="53">
        <v>-7000000</v>
      </c>
      <c r="F40" s="53">
        <v>6975135.96</v>
      </c>
    </row>
    <row r="41" spans="2:6" x14ac:dyDescent="0.25">
      <c r="B41" s="52">
        <v>45396</v>
      </c>
      <c r="C41" s="97" t="s">
        <v>4069</v>
      </c>
      <c r="D41" s="97" t="s">
        <v>3843</v>
      </c>
      <c r="E41" s="53">
        <v>2000000</v>
      </c>
      <c r="F41" s="53">
        <v>8975135.9600000009</v>
      </c>
    </row>
    <row r="42" spans="2:6" x14ac:dyDescent="0.25">
      <c r="B42" s="52">
        <v>45396</v>
      </c>
      <c r="C42" s="97" t="s">
        <v>4056</v>
      </c>
      <c r="D42" s="97" t="s">
        <v>3845</v>
      </c>
      <c r="E42" s="53">
        <v>430000</v>
      </c>
      <c r="F42" s="53">
        <v>9405135.9600000009</v>
      </c>
    </row>
    <row r="43" spans="2:6" x14ac:dyDescent="0.25">
      <c r="B43" s="52">
        <v>45397</v>
      </c>
      <c r="C43" s="97" t="s">
        <v>4070</v>
      </c>
      <c r="D43" s="97" t="s">
        <v>3883</v>
      </c>
      <c r="E43" s="53">
        <v>3800000</v>
      </c>
      <c r="F43" s="53">
        <v>13205135.960000001</v>
      </c>
    </row>
    <row r="44" spans="2:6" x14ac:dyDescent="0.25">
      <c r="B44" s="43">
        <v>45397</v>
      </c>
      <c r="C44" s="95" t="s">
        <v>4052</v>
      </c>
      <c r="D44" s="95" t="s">
        <v>4002</v>
      </c>
      <c r="E44" s="44">
        <v>0.14000000000000001</v>
      </c>
      <c r="F44" s="44">
        <v>13205136.1</v>
      </c>
    </row>
    <row r="45" spans="2:6" x14ac:dyDescent="0.25">
      <c r="B45" s="43">
        <v>45397</v>
      </c>
      <c r="C45" s="95" t="s">
        <v>4060</v>
      </c>
      <c r="D45" s="95" t="s">
        <v>3903</v>
      </c>
      <c r="E45" s="44">
        <v>-7095</v>
      </c>
      <c r="F45" s="44">
        <v>13198041.1</v>
      </c>
    </row>
    <row r="46" spans="2:6" x14ac:dyDescent="0.25">
      <c r="B46" s="52">
        <v>45398</v>
      </c>
      <c r="C46" s="97" t="s">
        <v>3869</v>
      </c>
      <c r="D46" s="97" t="s">
        <v>3870</v>
      </c>
      <c r="E46" s="53">
        <v>-45900</v>
      </c>
      <c r="F46" s="53">
        <v>13152141.1</v>
      </c>
    </row>
    <row r="47" spans="2:6" x14ac:dyDescent="0.25">
      <c r="B47" s="52">
        <v>45398</v>
      </c>
      <c r="C47" s="97" t="s">
        <v>4071</v>
      </c>
      <c r="D47" s="97" t="s">
        <v>3872</v>
      </c>
      <c r="E47" s="53">
        <v>-400000</v>
      </c>
      <c r="F47" s="53">
        <v>12752141.1</v>
      </c>
    </row>
    <row r="48" spans="2:6" x14ac:dyDescent="0.25">
      <c r="B48" s="52">
        <v>45399</v>
      </c>
      <c r="C48" s="97" t="s">
        <v>4072</v>
      </c>
      <c r="D48" s="97" t="s">
        <v>3874</v>
      </c>
      <c r="E48" s="53">
        <v>-170000</v>
      </c>
      <c r="F48" s="53">
        <v>12582141.1</v>
      </c>
    </row>
    <row r="49" spans="1:7" x14ac:dyDescent="0.25">
      <c r="B49" s="52">
        <v>45399</v>
      </c>
      <c r="C49" s="97" t="s">
        <v>4073</v>
      </c>
      <c r="D49" s="97" t="s">
        <v>3879</v>
      </c>
      <c r="E49" s="53">
        <v>-4500000</v>
      </c>
      <c r="F49" s="53">
        <v>8082141.0999999996</v>
      </c>
    </row>
    <row r="50" spans="1:7" x14ac:dyDescent="0.25">
      <c r="B50" s="43">
        <v>45400</v>
      </c>
      <c r="C50" s="95" t="s">
        <v>4074</v>
      </c>
      <c r="D50" s="95" t="s">
        <v>3903</v>
      </c>
      <c r="E50" s="44">
        <v>-0.01</v>
      </c>
      <c r="F50" s="44">
        <v>8082141.0899999999</v>
      </c>
    </row>
    <row r="51" spans="1:7" x14ac:dyDescent="0.25">
      <c r="B51" s="52">
        <v>45400</v>
      </c>
      <c r="C51" s="97" t="s">
        <v>4075</v>
      </c>
      <c r="D51" s="97" t="s">
        <v>3899</v>
      </c>
      <c r="E51" s="53">
        <v>450000</v>
      </c>
      <c r="F51" s="53">
        <v>8532141.0899999999</v>
      </c>
    </row>
    <row r="52" spans="1:7" x14ac:dyDescent="0.25">
      <c r="B52" s="52">
        <v>45401</v>
      </c>
      <c r="C52" s="97" t="s">
        <v>4059</v>
      </c>
      <c r="D52" s="97" t="s">
        <v>3900</v>
      </c>
      <c r="E52" s="53">
        <v>1200000</v>
      </c>
      <c r="F52" s="53">
        <v>9732141.0899999999</v>
      </c>
    </row>
    <row r="53" spans="1:7" x14ac:dyDescent="0.25">
      <c r="B53" s="52">
        <v>45402</v>
      </c>
      <c r="C53" s="97" t="s">
        <v>4076</v>
      </c>
      <c r="D53" s="97" t="s">
        <v>3887</v>
      </c>
      <c r="E53" s="53">
        <v>-100000</v>
      </c>
      <c r="F53" s="53">
        <v>9632141.0899999999</v>
      </c>
    </row>
    <row r="54" spans="1:7" x14ac:dyDescent="0.25">
      <c r="B54" s="52">
        <v>45403</v>
      </c>
      <c r="C54" s="97" t="s">
        <v>4077</v>
      </c>
      <c r="D54" s="97" t="s">
        <v>3889</v>
      </c>
      <c r="E54" s="53">
        <v>-1300000</v>
      </c>
      <c r="F54" s="53">
        <v>8332141.0899999999</v>
      </c>
    </row>
    <row r="55" spans="1:7" x14ac:dyDescent="0.25">
      <c r="B55" s="52">
        <v>45404</v>
      </c>
      <c r="C55" s="97" t="s">
        <v>3890</v>
      </c>
      <c r="D55" s="97" t="s">
        <v>3891</v>
      </c>
      <c r="E55" s="53">
        <v>-400000</v>
      </c>
      <c r="F55" s="53">
        <v>7932141.0899999999</v>
      </c>
    </row>
    <row r="56" spans="1:7" x14ac:dyDescent="0.25">
      <c r="B56" s="52">
        <v>45404</v>
      </c>
      <c r="C56" s="97" t="s">
        <v>4078</v>
      </c>
      <c r="D56" s="97" t="s">
        <v>3895</v>
      </c>
      <c r="E56" s="53">
        <v>-250000</v>
      </c>
      <c r="F56" s="53">
        <v>7682141.0899999999</v>
      </c>
    </row>
    <row r="57" spans="1:7" x14ac:dyDescent="0.25">
      <c r="B57" s="52">
        <v>45405</v>
      </c>
      <c r="C57" s="97" t="s">
        <v>3896</v>
      </c>
      <c r="D57" s="97" t="s">
        <v>3897</v>
      </c>
      <c r="E57" s="53">
        <v>-30000</v>
      </c>
      <c r="F57" s="53">
        <v>7652141.0899999999</v>
      </c>
      <c r="G57" s="4"/>
    </row>
    <row r="58" spans="1:7" x14ac:dyDescent="0.25">
      <c r="B58" s="43">
        <v>45406</v>
      </c>
      <c r="C58" s="95" t="s">
        <v>4059</v>
      </c>
      <c r="D58" s="95" t="s">
        <v>3901</v>
      </c>
      <c r="E58" s="44">
        <v>1800000</v>
      </c>
      <c r="F58" s="44">
        <v>9452141.0899999999</v>
      </c>
    </row>
    <row r="59" spans="1:7" x14ac:dyDescent="0.25">
      <c r="B59" s="43">
        <v>45407</v>
      </c>
      <c r="C59" s="95" t="s">
        <v>4079</v>
      </c>
      <c r="D59" s="9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18"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2" t="s">
        <v>3822</v>
      </c>
      <c r="D2" s="82"/>
      <c r="E2" s="82"/>
      <c r="F2" s="82"/>
      <c r="G2" s="82"/>
    </row>
    <row r="3" spans="2:7" ht="20.25" x14ac:dyDescent="0.3">
      <c r="C3" s="80" t="s">
        <v>3726</v>
      </c>
      <c r="D3" s="81"/>
      <c r="E3" s="77" t="s">
        <v>3732</v>
      </c>
      <c r="F3" s="78"/>
      <c r="G3" s="79"/>
    </row>
    <row r="4" spans="2:7" ht="20.25" x14ac:dyDescent="0.3">
      <c r="C4" s="80" t="s">
        <v>3728</v>
      </c>
      <c r="D4" s="81"/>
      <c r="E4" s="77">
        <v>900235498</v>
      </c>
      <c r="F4" s="78"/>
      <c r="G4" s="79"/>
    </row>
    <row r="5" spans="2:7" ht="20.25" x14ac:dyDescent="0.3">
      <c r="C5" s="80" t="s">
        <v>3730</v>
      </c>
      <c r="D5" s="81"/>
      <c r="E5" s="77" t="s">
        <v>3733</v>
      </c>
      <c r="F5" s="78"/>
      <c r="G5" s="79"/>
    </row>
    <row r="6" spans="2:7" ht="20.25" x14ac:dyDescent="0.3">
      <c r="C6" s="80" t="s">
        <v>3823</v>
      </c>
      <c r="D6" s="81"/>
      <c r="E6" s="77" t="s">
        <v>3824</v>
      </c>
      <c r="F6" s="78"/>
      <c r="G6" s="79"/>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abSelected="1" topLeftCell="D15" zoomScale="92" workbookViewId="0">
      <selection activeCell="F41" sqref="F41"/>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2" t="s">
        <v>3822</v>
      </c>
      <c r="D1" s="82"/>
      <c r="E1" s="82"/>
      <c r="F1" s="82"/>
      <c r="G1" s="82"/>
    </row>
    <row r="2" spans="3:19" ht="20.25" x14ac:dyDescent="0.3">
      <c r="C2" s="80" t="s">
        <v>3726</v>
      </c>
      <c r="D2" s="81"/>
      <c r="E2" s="77" t="s">
        <v>3732</v>
      </c>
      <c r="F2" s="78"/>
      <c r="G2" s="79"/>
    </row>
    <row r="3" spans="3:19" ht="20.25" x14ac:dyDescent="0.3">
      <c r="C3" s="80" t="s">
        <v>3728</v>
      </c>
      <c r="D3" s="81"/>
      <c r="E3" s="77">
        <v>900235498</v>
      </c>
      <c r="F3" s="78"/>
      <c r="G3" s="79"/>
    </row>
    <row r="4" spans="3:19" ht="20.25" x14ac:dyDescent="0.3">
      <c r="C4" s="80" t="s">
        <v>3730</v>
      </c>
      <c r="D4" s="81"/>
      <c r="E4" s="77" t="s">
        <v>3733</v>
      </c>
      <c r="F4" s="78"/>
      <c r="G4" s="79"/>
    </row>
    <row r="5" spans="3:19" ht="20.25" x14ac:dyDescent="0.3">
      <c r="C5" s="80" t="s">
        <v>3823</v>
      </c>
      <c r="D5" s="81"/>
      <c r="E5" s="77" t="s">
        <v>3824</v>
      </c>
      <c r="F5" s="78"/>
      <c r="G5" s="79"/>
    </row>
    <row r="6" spans="3:19" ht="20.25" x14ac:dyDescent="0.3">
      <c r="C6" s="80" t="s">
        <v>3825</v>
      </c>
      <c r="D6" s="81"/>
      <c r="E6" s="77" t="s">
        <v>3826</v>
      </c>
      <c r="F6" s="78"/>
      <c r="G6" s="79"/>
    </row>
    <row r="7" spans="3:19" ht="20.25" x14ac:dyDescent="0.3">
      <c r="C7" s="80" t="s">
        <v>3978</v>
      </c>
      <c r="D7" s="81"/>
      <c r="E7" s="83">
        <f>tbl_libro_auxiliar_bancos[[#Totals],[Saldo]]</f>
        <v>8430820</v>
      </c>
      <c r="F7" s="84"/>
      <c r="G7" s="85"/>
    </row>
    <row r="8" spans="3:19" ht="20.25" x14ac:dyDescent="0.3">
      <c r="C8" s="80" t="s">
        <v>3979</v>
      </c>
      <c r="D8" s="81"/>
      <c r="E8" s="83">
        <f>'Extracto Cta Bancolombia'!F60</f>
        <v>11452141.09</v>
      </c>
      <c r="F8" s="84"/>
      <c r="G8" s="85"/>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1" t="s">
        <v>4011</v>
      </c>
      <c r="D13" s="91"/>
      <c r="E13" s="91"/>
      <c r="G13" s="91" t="s">
        <v>4044</v>
      </c>
      <c r="H13" s="91"/>
      <c r="I13" s="91"/>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2" t="s">
        <v>4012</v>
      </c>
      <c r="D23" s="92"/>
      <c r="E23" s="92"/>
      <c r="G23" s="92" t="s">
        <v>4045</v>
      </c>
      <c r="H23" s="92"/>
      <c r="I23" s="92"/>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3" t="s">
        <v>4013</v>
      </c>
      <c r="D32" s="93"/>
      <c r="E32" s="93"/>
      <c r="G32" s="93" t="s">
        <v>4051</v>
      </c>
      <c r="H32" s="93"/>
      <c r="I32" s="93"/>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4" t="s">
        <v>4014</v>
      </c>
      <c r="D46" s="94"/>
      <c r="E46" s="94"/>
      <c r="G46" s="94" t="s">
        <v>4046</v>
      </c>
      <c r="H46" s="94"/>
      <c r="I46" s="94"/>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3" t="s">
        <v>4015</v>
      </c>
      <c r="D52" s="93"/>
      <c r="E52" s="93"/>
      <c r="G52" s="93" t="s">
        <v>4047</v>
      </c>
      <c r="H52" s="93"/>
      <c r="I52" s="93"/>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4" t="s">
        <v>4016</v>
      </c>
      <c r="D58" s="94"/>
      <c r="E58" s="94"/>
      <c r="G58" s="94" t="s">
        <v>4048</v>
      </c>
      <c r="H58" s="94"/>
      <c r="I58" s="94"/>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3" t="s">
        <v>4017</v>
      </c>
      <c r="D64" s="93"/>
      <c r="E64" s="93"/>
      <c r="G64" s="93" t="s">
        <v>4049</v>
      </c>
      <c r="H64" s="93"/>
      <c r="I64" s="93"/>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4" t="s">
        <v>4018</v>
      </c>
      <c r="D70" s="94"/>
      <c r="E70" s="94"/>
      <c r="G70" s="94" t="s">
        <v>4050</v>
      </c>
      <c r="H70" s="94"/>
      <c r="I70" s="94"/>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0" t="s">
        <v>4001</v>
      </c>
      <c r="D74" s="90"/>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0" t="s">
        <v>4043</v>
      </c>
      <c r="H74" s="90"/>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topLeftCell="P8" workbookViewId="0">
      <selection activeCell="U15" sqref="U15"/>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row>
    <row r="22" spans="2:23" x14ac:dyDescent="0.25">
      <c r="C22" s="4"/>
      <c r="U22" s="4"/>
      <c r="V22" s="4"/>
    </row>
    <row r="24" spans="2:23" x14ac:dyDescent="0.25">
      <c r="U24" s="4"/>
      <c r="V24" s="4"/>
    </row>
    <row r="25" spans="2:23" x14ac:dyDescent="0.25">
      <c r="U25" s="4"/>
      <c r="V25" s="4"/>
    </row>
    <row r="26" spans="2:23" x14ac:dyDescent="0.25">
      <c r="U26" s="4"/>
      <c r="V26" s="4"/>
    </row>
    <row r="27" spans="2:23" x14ac:dyDescent="0.25">
      <c r="U27" s="4"/>
      <c r="V27" s="4"/>
    </row>
    <row r="28" spans="2:23" x14ac:dyDescent="0.25">
      <c r="U28" s="4"/>
      <c r="V28" s="4"/>
    </row>
    <row r="29" spans="2:23" x14ac:dyDescent="0.25">
      <c r="U29" s="4"/>
      <c r="V29" s="4"/>
    </row>
    <row r="30" spans="2:23" x14ac:dyDescent="0.25">
      <c r="U30" s="4"/>
      <c r="V30" s="4"/>
    </row>
    <row r="31" spans="2:23" x14ac:dyDescent="0.25">
      <c r="U31" s="4"/>
      <c r="V31" s="4"/>
    </row>
    <row r="32" spans="2:23" x14ac:dyDescent="0.25">
      <c r="U32" s="4"/>
      <c r="V32" s="4"/>
    </row>
    <row r="33" spans="21:22" x14ac:dyDescent="0.25">
      <c r="U33" s="4"/>
      <c r="V33" s="4"/>
    </row>
    <row r="36" spans="21:22" x14ac:dyDescent="0.25">
      <c r="U36" s="4"/>
      <c r="V36" s="4"/>
    </row>
    <row r="37" spans="21:22" x14ac:dyDescent="0.25">
      <c r="U37" s="4"/>
      <c r="V37" s="4"/>
    </row>
    <row r="38" spans="21:22" x14ac:dyDescent="0.25">
      <c r="U38" s="4"/>
      <c r="V38" s="4"/>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2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2024-06-10T17:59:59Z</dcterms:modified>
</cp:coreProperties>
</file>