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tables/table8.xml" ContentType="application/vnd.openxmlformats-officedocument.spreadsheetml.table+xml"/>
  <Override PartName="/xl/drawings/drawing6.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7.xml" ContentType="application/vnd.openxmlformats-officedocument.drawing+xml"/>
  <Override PartName="/xl/tables/table26.xml" ContentType="application/vnd.openxmlformats-officedocument.spreadsheetml.table+xml"/>
  <Override PartName="/xl/drawings/drawing8.xml" ContentType="application/vnd.openxmlformats-officedocument.drawing+xml"/>
  <Override PartName="/xl/tables/table27.xml" ContentType="application/vnd.openxmlformats-officedocument.spreadsheetml.table+xml"/>
  <Override PartName="/xl/tables/table28.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32.xml" ContentType="application/vnd.openxmlformats-officedocument.spreadsheetml.table+xml"/>
  <Override PartName="/xl/drawings/drawing12.xml" ContentType="application/vnd.openxmlformats-officedocument.drawing+xml"/>
  <Override PartName="/xl/tables/table33.xml" ContentType="application/vnd.openxmlformats-officedocument.spreadsheetml.table+xml"/>
  <Override PartName="/xl/drawings/drawing13.xml" ContentType="application/vnd.openxmlformats-officedocument.drawing+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14.xml" ContentType="application/vnd.openxmlformats-officedocument.drawing+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989F2192-11D6-4977-B946-0B290C0F7EB6}" xr6:coauthVersionLast="47" xr6:coauthVersionMax="47" xr10:uidLastSave="{00000000-0000-0000-0000-000000000000}"/>
  <bookViews>
    <workbookView xWindow="-120" yWindow="-120" windowWidth="20730" windowHeight="11040" activeTab="1" xr2:uid="{6EBBE926-B0C5-4764-8107-17D972D080B1}"/>
  </bookViews>
  <sheets>
    <sheet name="Portada" sheetId="1" r:id="rId1"/>
    <sheet name="Factura Venta" sheetId="9" r:id="rId2"/>
    <sheet name="Soporte de compra" sheetId="21" r:id="rId3"/>
    <sheet name="Inventario" sheetId="10" r:id="rId4"/>
    <sheet name="apertura_caja_menor" sheetId="2" r:id="rId5"/>
    <sheet name="Hoja_trabajo" sheetId="4" r:id="rId6"/>
    <sheet name="Reconocimiento_reembolso_CM" sheetId="5" r:id="rId7"/>
    <sheet name="Libro Mayor" sheetId="19" r:id="rId8"/>
    <sheet name="Reconocimientos_contables" sheetId="7" r:id="rId9"/>
    <sheet name="Consulta Libro Bancos" sheetId="20" r:id="rId10"/>
    <sheet name="Libro Auxiliar Bancos" sheetId="11" r:id="rId11"/>
    <sheet name="Consulta Extracto" sheetId="18" r:id="rId12"/>
    <sheet name="Extracto Cta Bancolombia" sheetId="12" r:id="rId13"/>
    <sheet name="hoja_trabajo_conciliacion_banca" sheetId="16" r:id="rId14"/>
    <sheet name="Conciliacion Bancaria" sheetId="17" r:id="rId15"/>
    <sheet name="Instrumentos financieros" sheetId="13" r:id="rId16"/>
    <sheet name="PUC" sheetId="3" r:id="rId17"/>
  </sheets>
  <functionGroups builtInGroupCount="19"/>
  <definedNames>
    <definedName name="_xlnm.Print_Area" localSheetId="4">apertura_caja_menor!$B$2:$F$16</definedName>
    <definedName name="_xlnm.Print_Area" localSheetId="12">'Extracto Cta Bancolombia'!$A$1:$F$60</definedName>
    <definedName name="_xlnm.Print_Area" localSheetId="5">Hoja_trabajo!$B$2:$I$47</definedName>
    <definedName name="_xlnm.Print_Area" localSheetId="10">'Libro Auxiliar Bancos'!$C$1:$H$11</definedName>
    <definedName name="_xlnm.Print_Area" localSheetId="6">Reconocimiento_reembolso_CM!$B$1:$F$39</definedName>
    <definedName name="DatosExternos_1" localSheetId="11" hidden="1">'Consulta Extracto'!$A$1:$E$41</definedName>
    <definedName name="DatosExternos_1" localSheetId="9" hidden="1">'Consulta Libro Bancos'!$A$1:$F$32</definedName>
    <definedName name="DatosExternos_1" localSheetId="7" hidden="1">'Libro Mayor'!#REF!</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64" i="19" l="1"/>
  <c r="L164" i="19"/>
  <c r="M139" i="19"/>
  <c r="L139" i="19"/>
  <c r="M135" i="19"/>
  <c r="L135" i="19"/>
  <c r="M131" i="19"/>
  <c r="L131" i="19"/>
  <c r="M127" i="19"/>
  <c r="L127" i="19"/>
  <c r="E46" i="19"/>
  <c r="D46" i="19"/>
  <c r="E42" i="19"/>
  <c r="D42" i="19"/>
  <c r="E38" i="19"/>
  <c r="D38" i="19"/>
  <c r="E34" i="19"/>
  <c r="D34" i="19"/>
  <c r="E30" i="19"/>
  <c r="D30" i="19"/>
  <c r="E26" i="19"/>
  <c r="D26" i="19"/>
  <c r="E22" i="19"/>
  <c r="D22" i="19"/>
  <c r="E18" i="19"/>
  <c r="D18" i="19"/>
  <c r="E14" i="19"/>
  <c r="D14" i="19"/>
  <c r="E10" i="19"/>
  <c r="D10" i="19"/>
  <c r="E6" i="19"/>
  <c r="D6" i="19"/>
  <c r="M20" i="19"/>
  <c r="V47" i="13" l="1"/>
  <c r="U47" i="13"/>
  <c r="V42" i="13"/>
  <c r="U42" i="13"/>
  <c r="V37" i="13"/>
  <c r="U37" i="13"/>
  <c r="V28" i="13"/>
  <c r="U28" i="13"/>
  <c r="V23" i="13"/>
  <c r="U23" i="13"/>
  <c r="E46" i="17" l="1"/>
  <c r="O28" i="17"/>
  <c r="I58" i="17"/>
  <c r="I52" i="17"/>
  <c r="I46" i="17"/>
  <c r="I40" i="17"/>
  <c r="I34" i="17"/>
  <c r="I28" i="17"/>
  <c r="I22" i="17"/>
  <c r="I16" i="17"/>
  <c r="E58" i="17" l="1"/>
  <c r="E52" i="17"/>
  <c r="E34" i="17"/>
  <c r="E40" i="17"/>
  <c r="E28" i="17"/>
  <c r="E22" i="17"/>
  <c r="E16"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1" i="12" a="1"/>
  <c r="F61" i="12" s="1"/>
  <c r="E8" i="17" s="1"/>
  <c r="H11" i="11" a="1"/>
  <c r="H11" i="11" s="1"/>
  <c r="E7" i="17" s="1"/>
  <c r="I59" i="17" s="1"/>
  <c r="E61" i="12"/>
  <c r="E5" i="13"/>
  <c r="D5" i="13"/>
  <c r="E18" i="13"/>
  <c r="D18" i="13"/>
  <c r="E11" i="13"/>
  <c r="D11" i="13"/>
  <c r="G11" i="11"/>
  <c r="F11" i="11"/>
  <c r="F39" i="5"/>
  <c r="E39" i="5"/>
  <c r="H42" i="4"/>
  <c r="D42" i="4"/>
  <c r="I32" i="4"/>
  <c r="H32" i="4"/>
  <c r="G32" i="4"/>
  <c r="F16" i="2"/>
  <c r="E16" i="2"/>
  <c r="H14" i="7"/>
  <c r="G14" i="7"/>
  <c r="H11" i="10"/>
  <c r="F11" i="10"/>
  <c r="E11" i="10"/>
  <c r="D11" i="10"/>
  <c r="H10" i="10"/>
  <c r="H9" i="10"/>
  <c r="G18" i="9"/>
  <c r="F18" i="9"/>
  <c r="E18" i="9"/>
  <c r="D18" i="9"/>
  <c r="C18" i="9"/>
  <c r="E59"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D6C2A40-654B-4C4D-B728-D7C682DC23A7}" keepAlive="1" name="Conexión" type="5" refreshedVersion="0" background="1">
    <dbPr connection="Provider=Microsoft.Mashup.OleDb.1;Data Source=$Workbook$;Location=consulta_extracto;Extended Properties=&quot;&quot;" commandType="0"/>
  </connection>
  <connection id="2" xr16:uid="{9EDF0965-8544-42C9-AD38-2BD4D98586A2}" keepAlive="1" name="Conexión1" type="5" refreshedVersion="0" background="1">
    <dbPr connection="Provider=Microsoft.Mashup.OleDb.1;Data Source=$Workbook$;Location=consulta_extracto;Extended Properties=&quot;&quot;" commandType="0"/>
  </connection>
  <connection id="3" xr16:uid="{D356488A-73BA-48EC-9AE5-A4622E7B153C}" keepAlive="1" name="Conexión16" type="5" refreshedVersion="0" background="1">
    <dbPr connection="Provider=Microsoft.Mashup.OleDb.1;Data Source=$Workbook$;Location=tabla_consulta_extracto;Extended Properties=&quot;&quot;" commandType="0"/>
  </connection>
  <connection id="4" xr16:uid="{D256B3C5-07A9-44E2-B4A7-6BB353CCF7F5}" keepAlive="1" name="Conexión18" type="5" refreshedVersion="0" background="1">
    <dbPr connection="Provider=Microsoft.Mashup.OleDb.1;Data Source=$Workbook$;Location=nombre_consulta;Extended Properties=&quot;&quot;" commandType="0"/>
  </connection>
  <connection id="5" xr16:uid="{47EC5EE0-5093-4048-8B4C-739EB2819D90}" keepAlive="1" name="Conexión19" type="5" refreshedVersion="0" background="1">
    <dbPr connection="Provider=Microsoft.Mashup.OleDb.1;Data Source=$Workbook$;Location=nombre_consulta;Extended Properties=&quot;&quot;" commandType="0"/>
  </connection>
  <connection id="6" xr16:uid="{0A962E3B-48AA-4859-8FEB-9EBC038F374A}" keepAlive="1" name="Conexión2" type="5" refreshedVersion="0" background="1">
    <dbPr connection="Provider=Microsoft.Mashup.OleDb.1;Data Source=$Workbook$;Location=consulta_extracto;Extended Properties=&quot;&quot;" commandType="0"/>
  </connection>
  <connection id="7" xr16:uid="{E6C0686D-6D00-4256-9D9E-372D71EE2AEB}" keepAlive="1" name="Conexión20" type="5" refreshedVersion="0" background="1">
    <dbPr connection="Provider=Microsoft.Mashup.OleDb.1;Data Source=$Workbook$;Location=nombre_consulta;Extended Properties=&quot;&quot;" commandType="0"/>
  </connection>
  <connection id="8" xr16:uid="{C5D53D85-AF88-4902-BE63-61D034975FEC}" keepAlive="1" name="Conexión21" type="5" refreshedVersion="0" background="1">
    <dbPr connection="Provider=Microsoft.Mashup.OleDb.1;Data Source=$Workbook$;Location=nombre_consulta;Extended Properties=&quot;&quot;" commandType="0"/>
  </connection>
  <connection id="9" xr16:uid="{4531F79D-E76E-4ABA-B474-E3F6C41EA409}" keepAlive="1" name="Conexión22" type="5" refreshedVersion="0" background="1">
    <dbPr connection="Provider=Microsoft.Mashup.OleDb.1;Data Source=$Workbook$;Location=consulta_extracto;Extended Properties=&quot;&quot;" commandType="0"/>
  </connection>
  <connection id="10" xr16:uid="{7C55BD78-EF56-4698-B26E-698AA2F2691D}" keepAlive="1" name="Conexión23" type="5" refreshedVersion="0" background="1">
    <dbPr connection="Provider=Microsoft.Mashup.OleDb.1;Data Source=$Workbook$;Location=consulta_extracto;Extended Properties=&quot;&quot;" commandType="0"/>
  </connection>
  <connection id="11" xr16:uid="{9B1553F4-C929-47A1-9387-D8B98DFD01A5}" keepAlive="1" name="Conexión24" type="5" refreshedVersion="0" background="1">
    <dbPr connection="Provider=Microsoft.Mashup.OleDb.1;Data Source=$Workbook$;Location=consulta_extracto;Extended Properties=&quot;&quot;" commandType="0"/>
  </connection>
  <connection id="12" xr16:uid="{9DC009C3-9F88-4CE7-BB35-CFCF0DAE7EDC}" keepAlive="1" name="Conexión3" type="5" refreshedVersion="0" background="1">
    <dbPr connection="Provider=Microsoft.Mashup.OleDb.1;Data Source=$Workbook$;Location=consulta_extracto;Extended Properties=&quot;&quot;" commandType="0"/>
  </connection>
  <connection id="13" xr16:uid="{F80EBAC2-B121-4E5C-AA0F-D5C44D7ACD6E}" keepAlive="1" name="Conexión4" type="5" refreshedVersion="0" background="1">
    <dbPr connection="Provider=Microsoft.Mashup.OleDb.1;Data Source=$Workbook$;Location=consulta_extracto;Extended Properties=&quot;&quot;" commandType="0"/>
  </connection>
  <connection id="14" xr16:uid="{CE2C03F6-A80C-45E1-9D34-6BD2C2ED6B25}" keepAlive="1" name="Conexión5" type="5" refreshedVersion="0" background="1">
    <dbPr connection="Provider=Microsoft.Mashup.OleDb.1;Data Source=$Workbook$;Location=consulta_extracto;Extended Properties=&quot;&quot;" commandType="0"/>
  </connection>
  <connection id="15" xr16:uid="{ABD1F5DB-81F5-45ED-AAF4-9CC6E37F1704}" keepAlive="1" name="Conexión6" type="5" refreshedVersion="7" background="1" saveData="1">
    <dbPr connection="Provider=Microsoft.Mashup.OleDb.1;Data Source=$Workbook$;Location=consulta_extracto;Extended Properties=&quot;&quot;" command="SELECT * FROM [consulta_extracto]"/>
  </connection>
  <connection id="16" xr16:uid="{3D9F7FB1-F57D-4D72-A7A2-7ADB1CF73F02}" keepAlive="1" name="Conexión7" type="5" refreshedVersion="0" background="1">
    <dbPr connection="Provider=Microsoft.Mashup.OleDb.1;Data Source=$Workbook$;Location=consulta_libro_bancos;Extended Properties=&quot;&quot;" commandType="0"/>
  </connection>
  <connection id="17" xr16:uid="{0FEDEF8D-3D4E-4CB0-B9D5-C96727228B93}" keepAlive="1" name="Conexión8" type="5" refreshedVersion="0" background="1">
    <dbPr connection="Provider=Microsoft.Mashup.OleDb.1;Data Source=$Workbook$;Location=consulta_libro_bancos;Extended Properties=&quot;&quot;" commandType="0"/>
  </connection>
  <connection id="18" xr16:uid="{311F2CD9-83D7-414B-BC06-9DF573C1D574}" keepAlive="1" name="Conexión9" type="5" refreshedVersion="7" background="1" saveData="1">
    <dbPr connection="Provider=Microsoft.Mashup.OleDb.1;Data Source=$Workbook$;Location=consulta_libro_bancos;Extended Properties=&quot;&quot;" command="SELECT * FROM [consulta_libro_banc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<sst xmlns="http://schemas.openxmlformats.org/spreadsheetml/2006/main" count="6262" uniqueCount="4172">
  <si>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</si>
  <si>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</si>
  <si>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</si>
  <si>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</si>
  <si>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</si>
  <si>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</si>
  <si>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</si>
  <si>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</si>
  <si>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</si>
  <si>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</si>
  <si>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</si>
  <si>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</si>
  <si>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</si>
  <si>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</si>
  <si>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</si>
  <si>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</si>
  <si>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</si>
  <si>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</si>
  <si>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</si>
  <si>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</si>
  <si>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</si>
  <si>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</si>
  <si>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</si>
  <si>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</si>
  <si>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</si>
  <si>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</si>
  <si>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</si>
  <si>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</si>
  <si>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</si>
  <si>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</si>
  <si>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</si>
  <si>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</si>
  <si>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</si>
  <si>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</si>
  <si>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</si>
  <si>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</si>
  <si>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</si>
  <si>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</si>
  <si>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</si>
  <si>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</si>
  <si>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</si>
  <si>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</si>
  <si>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</si>
  <si>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</si>
  <si>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</si>
  <si>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</si>
  <si>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</si>
  <si>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</si>
  <si>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</si>
  <si>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</si>
  <si>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</si>
  <si>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</si>
  <si>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</si>
  <si>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</si>
  <si>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</si>
  <si>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</si>
  <si>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</si>
  <si>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</si>
  <si>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</si>
  <si>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</si>
  <si>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</si>
  <si>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</si>
  <si>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</si>
  <si>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</si>
  <si>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</si>
  <si>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</si>
  <si>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</si>
  <si>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</si>
  <si>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</si>
  <si>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</si>
  <si>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</si>
  <si>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</si>
  <si>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</si>
  <si>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</si>
  <si>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</si>
  <si>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</si>
  <si>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</si>
  <si>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</si>
  <si>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</si>
  <si>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</si>
  <si>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</si>
  <si>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</si>
  <si>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</si>
  <si>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</si>
  <si>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</si>
  <si>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</si>
  <si>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</si>
  <si>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</si>
  <si>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</si>
  <si>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</si>
  <si>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</si>
  <si>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</si>
  <si>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</si>
  <si>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</si>
  <si>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</si>
  <si>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</si>
  <si>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</si>
  <si>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</si>
  <si>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</si>
  <si>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</si>
  <si>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</si>
  <si>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</si>
  <si>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</si>
  <si>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</si>
  <si>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</si>
  <si>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</si>
  <si>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</si>
  <si>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</si>
  <si>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</si>
  <si>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</si>
  <si>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</si>
  <si>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</si>
  <si>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</si>
  <si>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</si>
  <si>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</si>
  <si>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</si>
  <si>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</si>
  <si>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</si>
  <si>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</si>
  <si>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</si>
  <si>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</si>
  <si>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</si>
  <si>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</si>
  <si>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</si>
  <si>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</si>
  <si>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</si>
  <si>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</si>
  <si>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</si>
  <si>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</si>
  <si>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</si>
  <si>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</si>
  <si>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</si>
  <si>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</si>
  <si>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</si>
  <si>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</si>
  <si>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</si>
  <si>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</si>
  <si>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</si>
  <si>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</si>
  <si>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</si>
  <si>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</si>
  <si>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</si>
  <si>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</si>
  <si>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</si>
  <si>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</si>
  <si>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</si>
  <si>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</si>
  <si>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</si>
  <si>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</si>
  <si>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</si>
  <si>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</si>
  <si>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</si>
  <si>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</si>
  <si>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</si>
  <si>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</si>
  <si>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</si>
  <si>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</si>
  <si>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</si>
  <si>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</si>
  <si>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</si>
  <si>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</si>
  <si>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</si>
  <si>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</si>
  <si>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</si>
  <si>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</si>
  <si>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</si>
  <si>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</si>
  <si>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</si>
  <si>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</si>
  <si>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</si>
  <si>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</si>
  <si>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</si>
  <si>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</si>
  <si>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</si>
  <si>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</si>
  <si>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</si>
  <si>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</si>
  <si>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</si>
  <si>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</si>
  <si>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</si>
  <si>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</si>
  <si>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</si>
  <si>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</si>
  <si>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</si>
  <si>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</si>
  <si>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</si>
  <si>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</si>
  <si>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</si>
  <si>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</si>
  <si>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</si>
  <si>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</si>
  <si>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</si>
  <si>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</si>
  <si>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</si>
  <si>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</si>
  <si>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</si>
  <si>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</si>
  <si>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</si>
  <si>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</si>
  <si>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</si>
  <si>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</si>
  <si>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</si>
  <si>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</si>
  <si>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</si>
  <si>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</si>
  <si>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</si>
  <si>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</si>
  <si>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</si>
  <si>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</si>
  <si>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</si>
  <si>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</si>
  <si>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</si>
  <si>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</si>
  <si>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</si>
  <si>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</si>
  <si>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</si>
  <si>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</si>
  <si>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</si>
  <si>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</si>
  <si>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</si>
  <si>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</si>
  <si>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</si>
  <si>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</si>
  <si>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</si>
  <si>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</si>
  <si>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</si>
  <si>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</si>
  <si>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</si>
  <si>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</si>
  <si>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</si>
  <si>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</si>
  <si>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</si>
  <si>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</si>
  <si>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</si>
  <si>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</si>
  <si>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</si>
  <si>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</si>
  <si>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</si>
  <si>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</si>
  <si>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</si>
  <si>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</si>
  <si>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</si>
  <si>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</si>
  <si>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</si>
  <si>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</si>
  <si>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</si>
  <si>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</si>
  <si>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</si>
  <si>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</si>
  <si>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</si>
  <si>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</si>
  <si>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</si>
  <si>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</si>
  <si>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</si>
  <si>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</si>
  <si>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</si>
  <si>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</si>
  <si>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</si>
  <si>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</si>
  <si>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</si>
  <si>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</si>
  <si>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</si>
  <si>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</si>
  <si>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</si>
  <si>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</si>
  <si>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</si>
  <si>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</si>
  <si>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</si>
  <si>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</si>
  <si>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</si>
  <si>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</si>
  <si>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</si>
  <si>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</si>
  <si>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</si>
  <si>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</si>
  <si>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</si>
  <si>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</si>
  <si>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</si>
  <si>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</si>
  <si>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</si>
  <si>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</si>
  <si>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</si>
  <si>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</si>
  <si>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</si>
  <si>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</si>
  <si>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</si>
  <si>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</si>
  <si>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</si>
  <si>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</si>
  <si>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</si>
  <si>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</si>
  <si>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</si>
  <si>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</si>
  <si>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</si>
  <si>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</si>
  <si>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</si>
  <si>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</si>
  <si>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</si>
  <si>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</si>
  <si>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</si>
  <si>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</si>
  <si>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</si>
  <si>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</si>
  <si>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</si>
  <si>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</si>
  <si>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</si>
  <si>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</si>
  <si>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</si>
  <si>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</si>
  <si>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</si>
  <si>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</si>
  <si>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</si>
  <si>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</si>
  <si>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</si>
  <si>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</si>
  <si>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</si>
  <si>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</si>
  <si>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</si>
  <si>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</si>
  <si>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</si>
  <si>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</si>
  <si>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</si>
  <si>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</si>
  <si>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</si>
  <si>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</si>
  <si>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</si>
  <si>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</si>
  <si>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</si>
  <si>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</si>
  <si>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</si>
  <si>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</si>
  <si>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</si>
  <si>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</si>
  <si>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</si>
  <si>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</si>
  <si>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</si>
  <si>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</si>
  <si>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</si>
  <si>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</si>
  <si>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</si>
  <si>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</si>
  <si>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</si>
  <si>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</si>
  <si>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</si>
  <si>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</si>
  <si>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</si>
  <si>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</si>
  <si>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</si>
  <si>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</si>
  <si>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</si>
  <si>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</si>
  <si>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</si>
  <si>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</si>
  <si>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</si>
  <si>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</si>
  <si>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</si>
  <si>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</si>
  <si>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</si>
  <si>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</si>
  <si>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</si>
  <si>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</si>
  <si>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</si>
  <si>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</si>
  <si>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</si>
  <si>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</si>
  <si>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</si>
  <si>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</si>
  <si>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</si>
  <si>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</si>
  <si>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</si>
  <si>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</si>
  <si>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</si>
  <si>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</si>
  <si>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</si>
  <si>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</si>
  <si>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</si>
  <si>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</si>
  <si>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</si>
  <si>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</si>
  <si>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</si>
  <si>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</si>
  <si>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</si>
  <si>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</si>
  <si>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</si>
  <si>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</si>
  <si>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</si>
  <si>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</si>
  <si>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</si>
  <si>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</si>
  <si>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</si>
  <si>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</si>
  <si>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</si>
  <si>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</si>
  <si>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</si>
  <si>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</si>
  <si>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</si>
  <si>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</si>
  <si>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</si>
  <si>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</si>
  <si>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</si>
  <si>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</si>
  <si>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</si>
  <si>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</si>
  <si>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</si>
  <si>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</si>
  <si>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</si>
  <si>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</si>
  <si>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</si>
  <si>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</si>
  <si>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</si>
  <si>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</si>
  <si>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</si>
  <si>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</si>
  <si>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</si>
  <si>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</si>
  <si>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</si>
  <si>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</si>
  <si>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</si>
  <si>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</si>
  <si>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</si>
  <si>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</si>
  <si>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</si>
  <si>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</si>
  <si>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</si>
  <si>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</si>
  <si>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</si>
  <si>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</si>
  <si>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</si>
  <si>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</si>
  <si>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</si>
  <si>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</si>
  <si>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</si>
  <si>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</si>
  <si>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</si>
  <si>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</si>
  <si>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</si>
  <si>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</si>
  <si>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</si>
  <si>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</si>
  <si>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</si>
  <si>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</si>
  <si>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</si>
  <si>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</si>
  <si>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</si>
  <si>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</si>
  <si>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</si>
  <si>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</si>
  <si>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</si>
  <si>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</si>
  <si>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</si>
  <si>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</si>
  <si>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</si>
  <si>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</si>
  <si>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</si>
  <si>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</si>
  <si>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</si>
  <si>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</si>
  <si>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</si>
  <si>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</si>
  <si>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</si>
  <si>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</si>
  <si>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</si>
  <si>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</si>
  <si>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</si>
  <si>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</si>
  <si>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</si>
  <si>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</si>
  <si>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</si>
  <si>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</si>
  <si>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</si>
  <si>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</si>
  <si>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</si>
  <si>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</si>
  <si>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</si>
  <si>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</si>
  <si>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</si>
  <si>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</si>
  <si>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</si>
  <si>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</si>
  <si>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</si>
  <si>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</si>
  <si>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</si>
  <si>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</si>
  <si>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</si>
  <si>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</si>
  <si>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</si>
  <si>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</si>
  <si>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</si>
  <si>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</si>
  <si>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</si>
  <si>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</si>
  <si>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</si>
  <si>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</si>
  <si>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</si>
  <si>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</si>
  <si>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</si>
  <si>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</si>
  <si>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</si>
  <si>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</si>
  <si>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</si>
  <si>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</si>
  <si>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</si>
  <si>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</si>
  <si>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</si>
  <si>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</si>
  <si>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</si>
  <si>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</si>
  <si>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</si>
  <si>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</si>
  <si>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</si>
  <si>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</si>
  <si>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</si>
  <si>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</si>
  <si>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</si>
  <si>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</si>
  <si>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</si>
  <si>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</si>
  <si>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</si>
  <si>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</si>
  <si>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</si>
  <si>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</si>
  <si>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</si>
  <si>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</si>
  <si>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</si>
  <si>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</si>
  <si>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</si>
  <si>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</si>
  <si>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</si>
  <si>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</si>
  <si>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</si>
  <si>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</si>
  <si>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</si>
  <si>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</si>
  <si>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</si>
  <si>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</si>
  <si>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</si>
  <si>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</si>
  <si>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</si>
  <si>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</si>
  <si>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</si>
  <si>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</si>
  <si>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</si>
  <si>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</si>
  <si>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</si>
  <si>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</si>
  <si>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</si>
  <si>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</si>
  <si>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</si>
  <si>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</si>
  <si>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</si>
  <si>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</si>
  <si>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</si>
  <si>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</si>
  <si>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</si>
  <si>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</si>
  <si>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</si>
  <si>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</si>
  <si>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</si>
  <si>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</si>
  <si>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</si>
  <si>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</si>
  <si>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</si>
  <si>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</si>
  <si>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</si>
  <si>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</si>
  <si>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</si>
  <si>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</si>
  <si>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</si>
  <si>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</si>
  <si>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</si>
  <si>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</si>
  <si>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</si>
  <si>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</si>
  <si>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</si>
  <si>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</si>
  <si>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</si>
  <si>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</si>
  <si>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</si>
  <si>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</si>
  <si>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</si>
  <si>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</si>
  <si>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</si>
  <si>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</si>
  <si>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</si>
  <si>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</si>
  <si>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</si>
  <si>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</si>
  <si>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</si>
  <si>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</si>
  <si>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</si>
  <si>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</si>
  <si>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</si>
  <si>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</si>
  <si>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</si>
  <si>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</si>
  <si>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</si>
  <si>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</si>
  <si>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</si>
  <si>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</si>
  <si>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</si>
  <si>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</si>
  <si>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</si>
  <si>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</si>
  <si>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</si>
  <si>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</si>
  <si>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</si>
  <si>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</si>
  <si>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</si>
  <si>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</si>
  <si>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</si>
  <si>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</si>
  <si>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</si>
  <si>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</si>
  <si>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</si>
  <si>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</si>
  <si>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</si>
  <si>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</si>
  <si>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</si>
  <si>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</si>
  <si>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</si>
  <si>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</si>
  <si>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</si>
  <si>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</si>
  <si>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</si>
  <si>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</si>
  <si>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</si>
  <si>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</si>
  <si>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</si>
  <si>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</si>
  <si>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</si>
  <si>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</si>
  <si>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</si>
  <si>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</si>
  <si>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</si>
  <si>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</si>
  <si>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</si>
  <si>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</si>
  <si>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</si>
  <si>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</si>
  <si>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</si>
  <si>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</si>
  <si>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</si>
  <si>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</si>
  <si>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</si>
  <si>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</si>
  <si>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</si>
  <si>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</si>
  <si>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</si>
  <si>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</si>
  <si>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</si>
  <si>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</si>
  <si>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</si>
  <si>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</si>
  <si>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</si>
  <si>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</si>
  <si>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</si>
  <si>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</si>
  <si>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</si>
  <si>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</si>
  <si>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</si>
  <si>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</si>
  <si>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</si>
  <si>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</si>
  <si>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</si>
  <si>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</si>
  <si>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</si>
  <si>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</si>
  <si>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</si>
  <si>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</si>
  <si>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</si>
  <si>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</si>
  <si>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</si>
  <si>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</si>
  <si>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</si>
  <si>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</si>
  <si>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</si>
  <si>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</si>
  <si>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</si>
  <si>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</si>
  <si>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</si>
  <si>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</si>
  <si>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</si>
  <si>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</si>
  <si>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</si>
  <si>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</si>
  <si>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</si>
  <si>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</si>
  <si>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</si>
  <si>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</si>
  <si>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</si>
  <si>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</si>
  <si>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</si>
  <si>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</si>
  <si>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</si>
  <si>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</si>
  <si>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</si>
  <si>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</si>
  <si>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</si>
  <si>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</si>
  <si>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</si>
  <si>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</si>
  <si>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</si>
  <si>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</si>
  <si>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</si>
  <si>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</si>
  <si>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</si>
  <si>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</si>
  <si>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</si>
  <si>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</si>
  <si>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</si>
  <si>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</si>
  <si>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</si>
  <si>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</si>
  <si>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</si>
  <si>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</si>
  <si>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</si>
  <si>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</si>
  <si>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</si>
  <si>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</si>
  <si>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</si>
  <si>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</si>
  <si>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</si>
  <si>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</si>
  <si>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</si>
  <si>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</si>
  <si>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</si>
  <si>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</si>
  <si>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</si>
  <si>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</si>
  <si>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</si>
  <si>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</si>
  <si>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</si>
  <si>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</si>
  <si>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</si>
  <si>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</si>
  <si>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</si>
  <si>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</si>
  <si>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</si>
  <si>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</si>
  <si>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</si>
  <si>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</si>
  <si>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</si>
  <si>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</si>
  <si>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</si>
  <si>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</si>
  <si>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</si>
  <si>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</si>
  <si>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</si>
  <si>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</si>
  <si>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</si>
  <si>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</si>
  <si>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</si>
  <si>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</si>
  <si>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</si>
  <si>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</si>
  <si>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</si>
  <si>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</si>
  <si>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</si>
  <si>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</si>
  <si>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</si>
  <si>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</si>
  <si>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</si>
  <si>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</si>
  <si>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</si>
  <si>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</si>
  <si>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</si>
  <si>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</si>
  <si>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</si>
  <si>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</si>
  <si>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</si>
  <si>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</si>
  <si>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</si>
  <si>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</si>
  <si>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</si>
  <si>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</si>
  <si>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</si>
  <si>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</si>
  <si>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</si>
  <si>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</si>
  <si>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</si>
  <si>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</si>
  <si>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</si>
  <si>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</si>
  <si>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</si>
  <si>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</si>
  <si>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</si>
  <si>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</si>
  <si>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</si>
  <si>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</si>
  <si>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</si>
  <si>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</si>
  <si>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</si>
  <si>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</si>
  <si>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</si>
  <si>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</si>
  <si>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</si>
  <si>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</si>
  <si>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</si>
  <si>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</si>
  <si>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</si>
  <si>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</si>
  <si>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</si>
  <si>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</si>
  <si>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</si>
  <si>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</si>
  <si>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</si>
  <si>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</si>
  <si>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</si>
  <si>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</si>
  <si>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</si>
  <si>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</si>
  <si>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</si>
  <si>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</si>
  <si>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</si>
  <si>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</si>
  <si>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</si>
  <si>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</si>
  <si>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</si>
  <si>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</si>
  <si>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</si>
  <si>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</si>
  <si>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</si>
  <si>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</si>
  <si>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</si>
  <si>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</si>
  <si>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</si>
  <si>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</si>
  <si>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</si>
  <si>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</si>
  <si>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</si>
  <si>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</si>
  <si>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</si>
  <si>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</si>
  <si>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</si>
  <si>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</si>
  <si>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</si>
  <si>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</si>
  <si>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</si>
  <si>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</si>
  <si>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</si>
  <si>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</si>
  <si>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</si>
  <si>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</si>
  <si>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</si>
  <si>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</si>
  <si>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</si>
  <si>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</si>
  <si>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</si>
  <si>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</si>
  <si>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</si>
  <si>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</si>
  <si>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</si>
  <si>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</si>
  <si>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</si>
  <si>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</si>
  <si>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</si>
  <si>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</si>
  <si>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</si>
  <si>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</si>
  <si>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</si>
  <si>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</si>
  <si>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</si>
  <si>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</si>
  <si>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</si>
  <si>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</si>
  <si>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</si>
  <si>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</si>
  <si>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</si>
  <si>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</si>
  <si>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</si>
  <si>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</si>
  <si>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</si>
  <si>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</si>
  <si>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</si>
  <si>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</si>
  <si>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</si>
  <si>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</si>
  <si>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</si>
  <si>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</si>
  <si>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</si>
  <si>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</si>
  <si>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</si>
  <si>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</si>
  <si>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</si>
  <si>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</si>
  <si>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</si>
  <si>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</si>
  <si>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</si>
  <si>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</si>
  <si>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</si>
  <si>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</si>
  <si>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</si>
  <si>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</si>
  <si>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</si>
  <si>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</si>
  <si>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</si>
  <si>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</si>
  <si>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</si>
  <si>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</si>
  <si>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</si>
  <si>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</si>
  <si>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</si>
  <si>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</si>
  <si>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</si>
  <si>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</si>
  <si>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</si>
  <si>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</si>
  <si>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</si>
  <si>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</si>
  <si>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</si>
  <si>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</si>
  <si>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</si>
  <si>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</si>
  <si>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</si>
  <si>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</si>
  <si>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</si>
  <si>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</si>
  <si>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</si>
  <si>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</si>
  <si>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</si>
  <si>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</si>
  <si>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</si>
  <si>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</si>
  <si>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</si>
  <si>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</si>
  <si>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</si>
  <si>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</si>
  <si>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</si>
  <si>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</si>
  <si>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</si>
  <si>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</si>
  <si>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</si>
  <si>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</si>
  <si>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</si>
  <si>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</si>
  <si>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</si>
  <si>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</si>
  <si>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</si>
  <si>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</si>
  <si>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</si>
  <si>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</si>
  <si>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</si>
  <si>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</si>
  <si>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</si>
  <si>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</si>
  <si>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</si>
  <si>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</si>
  <si>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</si>
  <si>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</si>
  <si>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</si>
  <si>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</si>
  <si>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</si>
  <si>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</si>
  <si>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</si>
  <si>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</si>
  <si>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</si>
  <si>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</si>
  <si>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</si>
  <si>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</si>
  <si>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</si>
  <si>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</si>
  <si>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</si>
  <si>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</si>
  <si>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</si>
  <si>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</si>
  <si>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</si>
  <si>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</si>
  <si>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</si>
  <si>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</si>
  <si>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</si>
  <si>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</si>
  <si>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</si>
  <si>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</si>
  <si>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</si>
  <si>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</si>
  <si>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</si>
  <si>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</si>
  <si>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</si>
  <si>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</si>
  <si>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</si>
  <si>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</si>
  <si>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</si>
  <si>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</si>
  <si>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</si>
  <si>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</si>
  <si>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</si>
  <si>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</si>
  <si>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</si>
  <si>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</si>
  <si>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</si>
  <si>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</si>
  <si>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</si>
  <si>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</si>
  <si>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</si>
  <si>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</si>
  <si>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</si>
  <si>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</si>
  <si>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</si>
  <si>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</si>
  <si>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</si>
  <si>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</si>
  <si>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</si>
  <si>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</si>
  <si>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</si>
  <si>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</si>
  <si>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</si>
  <si>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</si>
  <si>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</si>
  <si>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</si>
  <si>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</si>
  <si>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</si>
  <si>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</si>
  <si>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</si>
  <si>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</si>
  <si>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</si>
  <si>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</si>
  <si>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</si>
  <si>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</si>
  <si>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</si>
  <si>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</si>
  <si>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</si>
  <si>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</si>
  <si>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</si>
  <si>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</si>
  <si>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</si>
  <si>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</si>
  <si>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</si>
  <si>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</si>
  <si>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</si>
  <si>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</si>
  <si>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</si>
  <si>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</si>
  <si>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</si>
  <si>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</si>
  <si>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</si>
  <si>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</si>
  <si>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</si>
  <si>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</si>
  <si>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</si>
  <si>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</si>
  <si>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</si>
  <si>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</si>
  <si>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</si>
  <si>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</si>
  <si>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</si>
  <si>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</si>
  <si>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</si>
  <si>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</si>
  <si>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</si>
  <si>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</si>
  <si>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</si>
  <si>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</si>
  <si>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</si>
  <si>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</si>
  <si>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</si>
  <si>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</si>
  <si>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</si>
  <si>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</si>
  <si>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</si>
  <si>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</si>
  <si>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</si>
  <si>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</si>
  <si>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</si>
  <si>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</si>
  <si>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</si>
  <si>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</si>
  <si>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</si>
  <si>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</si>
  <si>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</si>
  <si>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</si>
  <si>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</si>
  <si>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</si>
  <si>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</si>
  <si>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</si>
  <si>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</si>
  <si>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</si>
  <si>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</si>
  <si>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</si>
  <si>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</si>
  <si>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</si>
  <si>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</si>
  <si>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</si>
  <si>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</si>
  <si>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</si>
  <si>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</si>
  <si>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</si>
  <si>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</si>
  <si>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</si>
  <si>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</si>
  <si>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</si>
  <si>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</si>
  <si>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</si>
  <si>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</si>
  <si>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</si>
  <si>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</si>
  <si>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</si>
  <si>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</si>
  <si>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</si>
  <si>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</si>
  <si>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</si>
  <si>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</si>
  <si>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</si>
  <si>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</si>
  <si>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</si>
  <si>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</si>
  <si>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</si>
  <si>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</si>
  <si>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</si>
  <si>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</si>
  <si>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</si>
  <si>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</si>
  <si>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</si>
  <si>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</si>
  <si>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</si>
  <si>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</si>
  <si>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</si>
  <si>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</si>
  <si>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</si>
  <si>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</si>
  <si>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</si>
  <si>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</si>
  <si>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</si>
  <si>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</si>
  <si>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</si>
  <si>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</si>
  <si>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</si>
  <si>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</si>
  <si>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</si>
  <si>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</si>
  <si>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</si>
  <si>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</si>
  <si>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</si>
  <si>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</si>
  <si>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</si>
  <si>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</si>
  <si>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</si>
  <si>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</si>
  <si>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</si>
  <si>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</si>
  <si>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</si>
  <si>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</si>
  <si>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</si>
  <si>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</si>
  <si>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</si>
  <si>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</si>
  <si>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</si>
  <si>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</si>
  <si>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</si>
  <si>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</si>
  <si>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</si>
  <si>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</si>
  <si>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</si>
  <si>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</si>
  <si>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</si>
  <si>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</si>
  <si>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</si>
  <si>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</si>
  <si>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</si>
  <si>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</si>
  <si>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</si>
  <si>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</si>
  <si>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</si>
  <si>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</si>
  <si>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</si>
  <si>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</si>
  <si>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</si>
  <si>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</si>
  <si>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</si>
  <si>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</si>
  <si>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</si>
  <si>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</si>
  <si>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</si>
  <si>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</si>
  <si>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</si>
  <si>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</si>
  <si>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</si>
  <si>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</si>
  <si>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</si>
  <si>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</si>
  <si>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</si>
  <si>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</si>
  <si>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</si>
  <si>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</si>
  <si>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</si>
  <si>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</si>
  <si>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</si>
  <si>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</si>
  <si>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</si>
  <si>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</si>
  <si>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</si>
  <si>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</si>
  <si>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</si>
  <si>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</si>
  <si>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</si>
  <si>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</si>
  <si>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</si>
  <si>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</si>
  <si>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</si>
  <si>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</si>
  <si>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</si>
  <si>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</si>
  <si>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</si>
  <si>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</si>
  <si>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</si>
  <si>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</si>
  <si>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</si>
  <si>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</si>
  <si>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</si>
  <si>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</si>
  <si>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</si>
  <si>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</si>
  <si>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</si>
  <si>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</si>
  <si>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</si>
  <si>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</si>
  <si>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</si>
  <si>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</si>
  <si>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</si>
  <si>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</si>
  <si>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</si>
  <si>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</si>
  <si>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</si>
  <si>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</si>
  <si>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</si>
  <si>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</si>
  <si>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</si>
  <si>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</si>
  <si>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</si>
  <si>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</si>
  <si>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</si>
  <si>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</si>
  <si>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</si>
  <si>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</si>
  <si>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</si>
  <si>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</si>
  <si>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</si>
  <si>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</si>
  <si>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</si>
  <si>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</si>
  <si>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</si>
  <si>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</si>
  <si>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</si>
  <si>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</si>
  <si>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</si>
  <si>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</si>
  <si>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</si>
  <si>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</si>
  <si>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</si>
  <si>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</si>
  <si>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</si>
  <si>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</si>
  <si>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</si>
  <si>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</si>
  <si>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</si>
  <si>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</si>
  <si>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</si>
  <si>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</si>
  <si>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</si>
  <si>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</si>
  <si>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</si>
  <si>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</si>
  <si>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</si>
  <si>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</si>
  <si>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</si>
  <si>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</si>
  <si>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</si>
  <si>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</si>
  <si>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</si>
  <si>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</si>
  <si>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</si>
  <si>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</si>
  <si>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</si>
  <si>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</si>
  <si>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</si>
  <si>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</si>
  <si>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</si>
  <si>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</si>
  <si>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</si>
  <si>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</si>
  <si>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</si>
  <si>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</si>
  <si>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</si>
  <si>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</si>
  <si>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</si>
  <si>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</si>
  <si>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</si>
  <si>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</si>
  <si>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</si>
  <si>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</si>
  <si>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</si>
  <si>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</si>
  <si>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</si>
  <si>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</si>
  <si>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</si>
  <si>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</si>
  <si>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</si>
  <si>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</si>
  <si>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</si>
  <si>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</si>
  <si>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</si>
  <si>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</si>
  <si>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</si>
  <si>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</si>
  <si>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</si>
  <si>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</si>
  <si>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</si>
  <si>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</si>
  <si>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</si>
  <si>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</si>
  <si>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</si>
  <si>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</si>
  <si>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</si>
  <si>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</si>
  <si>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</si>
  <si>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</si>
  <si>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</si>
  <si>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</si>
  <si>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</si>
  <si>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</si>
  <si>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</si>
  <si>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</si>
  <si>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</si>
  <si>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</si>
  <si>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</si>
  <si>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</si>
  <si>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</si>
  <si>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</si>
  <si>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</si>
  <si>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</si>
  <si>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</si>
  <si>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</si>
  <si>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</si>
  <si>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</si>
  <si>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</si>
  <si>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</si>
  <si>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</si>
  <si>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</si>
  <si>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</si>
  <si>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</si>
  <si>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</si>
  <si>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</si>
  <si>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</si>
  <si>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</si>
  <si>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</si>
  <si>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</si>
  <si>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</si>
  <si>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</si>
  <si>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</si>
  <si>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</si>
  <si>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</si>
  <si>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</si>
  <si>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</si>
  <si>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</si>
  <si>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</si>
  <si>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</si>
  <si>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</si>
  <si>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</si>
  <si>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</si>
  <si>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</si>
  <si>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</si>
  <si>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</si>
  <si>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</si>
  <si>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</si>
  <si>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</si>
  <si>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</si>
  <si>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</si>
  <si>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</si>
  <si>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</si>
  <si>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</si>
  <si>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</si>
  <si>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</si>
  <si>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</si>
  <si>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</si>
  <si>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</si>
  <si>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</si>
  <si>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</si>
  <si>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</si>
  <si>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</si>
  <si>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</si>
  <si>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</si>
  <si>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</si>
  <si>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</si>
  <si>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</si>
  <si>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</si>
  <si>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</si>
  <si>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</si>
  <si>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</si>
  <si>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</si>
  <si>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</si>
  <si>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</si>
  <si>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</si>
  <si>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</si>
  <si>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</si>
  <si>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</si>
  <si>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</si>
  <si>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</si>
  <si>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</si>
  <si>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</si>
  <si>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</si>
  <si>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</si>
  <si>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</si>
  <si>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</si>
  <si>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</si>
  <si>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</si>
  <si>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</si>
  <si>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</si>
  <si>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</si>
  <si>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</si>
  <si>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</si>
  <si>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</si>
  <si>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</si>
  <si>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</si>
  <si>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</si>
  <si>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</si>
  <si>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</si>
  <si>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</si>
  <si>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</si>
  <si>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</si>
  <si>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</si>
  <si>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</si>
  <si>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</si>
  <si>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</si>
  <si>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</si>
  <si>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</si>
  <si>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</si>
  <si>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</si>
  <si>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</si>
  <si>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</si>
  <si>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</si>
  <si>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</si>
  <si>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</si>
  <si>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</si>
  <si>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</si>
  <si>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</si>
  <si>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</si>
  <si>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</si>
  <si>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</si>
  <si>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</si>
  <si>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</si>
  <si>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</si>
  <si>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</si>
  <si>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</si>
  <si>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</si>
  <si>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</si>
  <si>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</si>
  <si>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</si>
  <si>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</si>
  <si>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</si>
  <si>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</si>
  <si>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</si>
  <si>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</si>
  <si>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</si>
  <si>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</si>
  <si>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</si>
  <si>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</si>
  <si>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</si>
  <si>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</si>
  <si>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</si>
  <si>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</si>
  <si>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</si>
  <si>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</si>
  <si>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</si>
  <si>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</si>
  <si>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</si>
  <si>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</si>
  <si>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</si>
  <si>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</si>
  <si>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</si>
  <si>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</si>
  <si>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</si>
  <si>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</si>
  <si>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</si>
  <si>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</si>
  <si>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</si>
  <si>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</si>
  <si>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</si>
  <si>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</si>
  <si>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</si>
  <si>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</si>
  <si>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</si>
  <si>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</si>
  <si>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</si>
  <si>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</si>
  <si>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</si>
  <si>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</si>
  <si>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</si>
  <si>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</si>
  <si>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</si>
  <si>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</si>
  <si>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</si>
  <si>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</si>
  <si>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</si>
  <si>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</si>
  <si>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</si>
  <si>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</si>
  <si>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</si>
  <si>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</si>
  <si>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</si>
  <si>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</si>
  <si>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</si>
  <si>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</si>
  <si>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</si>
  <si>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</si>
  <si>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</si>
  <si>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</si>
  <si>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</si>
  <si>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</si>
  <si>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</si>
  <si>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</si>
  <si>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</si>
  <si>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</si>
  <si>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</si>
  <si>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</si>
  <si>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</si>
  <si>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</si>
  <si>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</si>
  <si>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</si>
  <si>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</si>
  <si>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</si>
  <si>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</si>
  <si>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</si>
  <si>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</si>
  <si>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</si>
  <si>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</si>
  <si>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</si>
  <si>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</si>
  <si>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</si>
  <si>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</si>
  <si>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</si>
  <si>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</si>
  <si>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</si>
  <si>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</si>
  <si>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</si>
  <si>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</si>
  <si>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</si>
  <si>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</si>
  <si>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</si>
  <si>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</si>
  <si>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</si>
  <si>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</si>
  <si>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</si>
  <si>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</si>
  <si>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</si>
  <si>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</si>
  <si>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</si>
  <si>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</si>
  <si>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</si>
  <si>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</si>
  <si>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</si>
  <si>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</si>
  <si>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</si>
  <si>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</si>
  <si>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</si>
  <si>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</si>
  <si>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</si>
  <si>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</si>
  <si>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</si>
  <si>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</si>
  <si>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</si>
  <si>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</si>
  <si>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</si>
  <si>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</si>
  <si>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</si>
  <si>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</si>
  <si>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</si>
  <si>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</si>
  <si>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</si>
  <si>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</si>
  <si>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</si>
  <si>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</si>
  <si>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</si>
  <si>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</si>
  <si>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</si>
  <si>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</si>
  <si>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</si>
  <si>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</si>
  <si>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</si>
  <si>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</si>
  <si>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</si>
  <si>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</si>
  <si>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</si>
  <si>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</si>
  <si>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</si>
  <si>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</si>
  <si>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</si>
  <si>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</si>
  <si>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</si>
  <si>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</si>
  <si>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</si>
  <si>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</si>
  <si>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</si>
  <si>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</si>
  <si>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</si>
  <si>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</si>
  <si>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</si>
  <si>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</si>
  <si>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</si>
  <si>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</si>
  <si>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</si>
  <si>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</si>
  <si>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</si>
  <si>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</si>
  <si>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</si>
  <si>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</si>
  <si>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</si>
  <si>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</si>
  <si>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</si>
  <si>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</si>
  <si>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</si>
  <si>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</si>
  <si>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</si>
  <si>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</si>
  <si>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</si>
  <si>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</si>
  <si>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</si>
  <si>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</si>
  <si>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</si>
  <si>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</si>
  <si>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</si>
  <si>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</si>
  <si>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</si>
  <si>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</si>
  <si>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</si>
  <si>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</si>
  <si>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</si>
  <si>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</si>
  <si>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</si>
  <si>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</si>
  <si>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</si>
  <si>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</si>
  <si>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</si>
  <si>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</si>
  <si>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</si>
  <si>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</si>
  <si>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</si>
  <si>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</si>
  <si>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</si>
  <si>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</si>
  <si>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</si>
  <si>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</si>
  <si>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</si>
  <si>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</si>
  <si>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</si>
  <si>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</si>
  <si>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</si>
  <si>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</si>
  <si>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</si>
  <si>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</si>
  <si>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</si>
  <si>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</si>
  <si>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</si>
  <si>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</si>
  <si>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</si>
  <si>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</si>
  <si>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</si>
  <si>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</si>
  <si>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</si>
  <si>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</si>
  <si>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</si>
  <si>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</si>
  <si>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</si>
  <si>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</si>
  <si>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</si>
  <si>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</si>
  <si>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</si>
  <si>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</si>
  <si>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</si>
  <si>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</si>
  <si>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</si>
  <si>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</si>
  <si>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</si>
  <si>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</si>
  <si>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</si>
  <si>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</si>
  <si>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</si>
  <si>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</si>
  <si>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</si>
  <si>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</si>
  <si>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</si>
  <si>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</si>
  <si>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</si>
  <si>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</si>
  <si>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</si>
  <si>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</si>
  <si>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</si>
  <si>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</si>
  <si>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</si>
  <si>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</si>
  <si>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</si>
  <si>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</si>
  <si>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</si>
  <si>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</si>
  <si>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</si>
  <si>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</si>
  <si>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</si>
  <si>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</si>
  <si>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</si>
  <si>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</si>
  <si>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</si>
  <si>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</si>
  <si>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</si>
  <si>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</si>
  <si>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</si>
  <si>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</si>
  <si>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</si>
  <si>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</si>
  <si>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</si>
  <si>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</si>
  <si>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</si>
  <si>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</si>
  <si>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</si>
  <si>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</si>
  <si>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</si>
  <si>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</si>
  <si>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</si>
  <si>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</si>
  <si>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</si>
  <si>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</si>
  <si>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</si>
  <si>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</si>
  <si>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</si>
  <si>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</si>
  <si>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</si>
  <si>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</si>
  <si>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</si>
  <si>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</si>
  <si>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</si>
  <si>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</si>
  <si>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</si>
  <si>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</si>
  <si>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</si>
  <si>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</si>
  <si>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</si>
  <si>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</si>
  <si>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</si>
  <si>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</si>
  <si>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</si>
  <si>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</si>
  <si>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</si>
  <si>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</si>
  <si>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</si>
  <si>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</si>
  <si>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</si>
  <si>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</si>
  <si>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</si>
  <si>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</si>
  <si>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</si>
  <si>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</si>
  <si>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</si>
  <si>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</si>
  <si>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</si>
  <si>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</si>
  <si>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</si>
  <si>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</si>
  <si>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</si>
  <si>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</si>
  <si>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</si>
  <si>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</si>
  <si>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</si>
  <si>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</si>
  <si>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</si>
  <si>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</si>
  <si>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</si>
  <si>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</si>
  <si>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</si>
  <si>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</si>
  <si>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</si>
  <si>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</si>
  <si>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</si>
  <si>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</si>
  <si>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</si>
  <si>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</si>
  <si>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</si>
  <si>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</si>
  <si>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</si>
  <si>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</si>
  <si>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</si>
  <si>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</si>
  <si>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</si>
  <si>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</si>
  <si>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</si>
  <si>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</si>
  <si>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</si>
  <si>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</si>
  <si>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</si>
  <si>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</si>
  <si>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</si>
  <si>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</si>
  <si>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</si>
  <si>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</si>
  <si>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</si>
  <si>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</si>
  <si>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</si>
  <si>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</si>
  <si>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</si>
  <si>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</si>
  <si>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</si>
  <si>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</si>
  <si>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</si>
  <si>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</si>
  <si>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</si>
  <si>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</si>
  <si>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</si>
  <si>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</si>
  <si>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</si>
  <si>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</si>
  <si>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</si>
  <si>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</si>
  <si>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</si>
  <si>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</si>
  <si>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</si>
  <si>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</si>
  <si>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</si>
  <si>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</si>
  <si>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</si>
  <si>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</si>
  <si>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</si>
  <si>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</si>
  <si>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</si>
  <si>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</si>
  <si>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</si>
  <si>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</si>
  <si>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</si>
  <si>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</si>
  <si>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</si>
  <si>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</si>
  <si>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</si>
  <si>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</si>
  <si>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</si>
  <si>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</si>
  <si>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</si>
  <si>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</si>
  <si>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</si>
  <si>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</si>
  <si>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</si>
  <si>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</si>
  <si>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</si>
  <si>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</si>
  <si>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</si>
  <si>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</si>
  <si>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</si>
  <si>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</si>
  <si>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</si>
  <si>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</si>
  <si>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</si>
  <si>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</si>
  <si>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</si>
  <si>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</si>
  <si>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</si>
  <si>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</si>
  <si>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</si>
  <si>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</si>
  <si>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</si>
  <si>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</si>
  <si>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</si>
  <si>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</si>
  <si>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</si>
  <si>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</si>
  <si>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</si>
  <si>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</si>
  <si>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</si>
  <si>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</si>
  <si>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</si>
  <si>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</si>
  <si>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</si>
  <si>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</si>
  <si>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</si>
  <si>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</si>
  <si>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</si>
  <si>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</si>
  <si>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</si>
  <si>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</si>
  <si>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</si>
  <si>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</si>
  <si>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</si>
  <si>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</si>
  <si>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</si>
  <si>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</si>
  <si>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</si>
  <si>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</si>
  <si>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</si>
  <si>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</si>
  <si>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</si>
  <si>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</si>
  <si>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</si>
  <si>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</si>
  <si>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</si>
  <si>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</si>
  <si>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</si>
  <si>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</si>
  <si>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</si>
  <si>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</si>
  <si>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</si>
  <si>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</si>
  <si>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</si>
  <si>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</si>
  <si>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</si>
  <si>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</si>
  <si>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</si>
  <si>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</si>
  <si>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</si>
  <si>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</si>
  <si>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</si>
  <si>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</si>
  <si>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</si>
  <si>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</si>
  <si>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</si>
  <si>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</si>
  <si>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</si>
  <si>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</si>
  <si>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</si>
  <si>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</si>
  <si>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</si>
  <si>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</si>
  <si>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</si>
  <si>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</si>
  <si>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</si>
  <si>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</si>
  <si>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</si>
  <si>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</si>
  <si>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</si>
  <si>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</si>
  <si>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</si>
  <si>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</si>
  <si>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</si>
  <si>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</si>
  <si>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</si>
  <si>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</si>
  <si>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</si>
  <si>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</si>
  <si>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</si>
  <si>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</si>
  <si>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</si>
  <si>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</si>
  <si>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</si>
  <si>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</si>
  <si>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</si>
  <si>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</si>
  <si>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</si>
  <si>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</si>
  <si>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</si>
  <si>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</si>
  <si>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</si>
  <si>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</si>
  <si>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</si>
  <si>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</si>
  <si>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</si>
  <si>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</si>
  <si>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</si>
  <si>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</si>
  <si>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</si>
  <si>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</si>
  <si>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</si>
  <si>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</si>
  <si>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</si>
  <si>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</si>
  <si>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</si>
  <si>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</si>
  <si>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</si>
  <si>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</si>
  <si>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</si>
  <si>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</si>
  <si>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</si>
  <si>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</si>
  <si>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</si>
  <si>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</si>
  <si>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</si>
  <si>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</si>
  <si>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</si>
  <si>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</si>
  <si>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</si>
  <si>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</si>
  <si>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</si>
  <si>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</si>
  <si>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</si>
  <si>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</si>
  <si>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</si>
  <si>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</si>
  <si>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</si>
  <si>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</si>
  <si>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</si>
  <si>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</si>
  <si>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</si>
  <si>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</si>
  <si>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</si>
  <si>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</si>
  <si>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</si>
  <si>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</si>
  <si>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</si>
  <si>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</si>
  <si>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</si>
  <si>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</si>
  <si>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</si>
  <si>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</si>
  <si>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</si>
  <si>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</si>
  <si>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</si>
  <si>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</si>
  <si>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</si>
  <si>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</si>
  <si>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</si>
  <si>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</si>
  <si>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</si>
  <si>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</si>
  <si>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</si>
  <si>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</si>
  <si>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</si>
  <si>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</si>
  <si>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</si>
  <si>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</si>
  <si>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</si>
  <si>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</si>
  <si>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</si>
  <si>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</si>
  <si>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</si>
  <si>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</si>
  <si>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</si>
  <si>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</si>
  <si>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</si>
  <si>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</si>
  <si>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</si>
  <si>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</si>
  <si>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</si>
  <si>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</si>
  <si>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</si>
  <si>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</si>
  <si>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</si>
  <si>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</si>
  <si>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</si>
  <si>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</si>
  <si>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</si>
  <si>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</si>
  <si>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</si>
  <si>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</si>
  <si>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</si>
  <si>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</si>
  <si>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</si>
  <si>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</si>
  <si>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</si>
  <si>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</si>
  <si>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</si>
  <si>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</si>
  <si>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</si>
  <si>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</si>
  <si>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</si>
  <si>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</si>
  <si>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</si>
  <si>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</si>
  <si>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</si>
  <si>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</si>
  <si>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</si>
  <si>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</si>
  <si>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</si>
  <si>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</si>
  <si>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</si>
  <si>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</si>
  <si>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</si>
  <si>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</si>
  <si>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</si>
  <si>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</si>
  <si>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</si>
  <si>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</si>
  <si>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</si>
  <si>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</si>
  <si>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</si>
  <si>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</si>
  <si>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</si>
  <si>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</si>
  <si>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</si>
  <si>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</si>
  <si>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</si>
  <si>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</si>
  <si>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</si>
  <si>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</si>
  <si>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</si>
  <si>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</si>
  <si>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</si>
  <si>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</si>
  <si>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</si>
  <si>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</si>
  <si>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</si>
  <si>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</si>
  <si>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</si>
  <si>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</si>
  <si>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</si>
  <si>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</si>
  <si>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</si>
  <si>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</si>
  <si>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</si>
  <si>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</si>
  <si>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</si>
  <si>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</si>
  <si>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</si>
  <si>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</si>
  <si>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</si>
  <si>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</si>
  <si>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</si>
  <si>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</si>
  <si>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</si>
  <si>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</si>
  <si>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</si>
  <si>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</si>
  <si>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</si>
  <si>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</si>
  <si>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</si>
  <si>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</si>
  <si>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</si>
  <si>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</si>
  <si>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</si>
  <si>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</si>
  <si>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</si>
  <si>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</si>
  <si>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</si>
  <si>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</si>
  <si>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</si>
  <si>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</si>
  <si>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</si>
  <si>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</si>
  <si>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</si>
  <si>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</si>
  <si>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</si>
  <si>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</si>
  <si>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</si>
  <si>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</si>
  <si>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</si>
  <si>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</si>
  <si>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</si>
  <si>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</si>
  <si>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</si>
  <si>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</si>
  <si>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</si>
  <si>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</si>
  <si>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</si>
  <si>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</si>
  <si>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</si>
  <si>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</si>
  <si>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</si>
  <si>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</si>
  <si>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</si>
  <si>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</si>
  <si>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</si>
  <si>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</si>
  <si>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</si>
  <si>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</si>
  <si>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</si>
  <si>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</si>
  <si>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</si>
  <si>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</si>
  <si>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</si>
  <si>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</si>
  <si>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</si>
  <si>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</si>
  <si>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</si>
  <si>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</si>
  <si>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</si>
  <si>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</si>
  <si>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</si>
  <si>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</si>
  <si>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</si>
  <si>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</si>
  <si>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</si>
  <si>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</si>
  <si>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</si>
  <si>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</si>
  <si>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</si>
  <si>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</si>
  <si>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</si>
  <si>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</si>
  <si>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</si>
  <si>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</si>
  <si>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</si>
  <si>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</si>
  <si>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</si>
  <si>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</si>
  <si>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</si>
  <si>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</si>
  <si>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</si>
  <si>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</si>
  <si>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</si>
  <si>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</si>
  <si>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</si>
  <si>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</si>
  <si>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</si>
  <si>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</si>
  <si>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</si>
  <si>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</si>
  <si>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</si>
  <si>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</si>
  <si>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</si>
  <si>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</si>
  <si>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</si>
  <si>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</si>
  <si>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</si>
  <si>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</si>
  <si>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</si>
  <si>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</si>
  <si>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</si>
  <si>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</si>
  <si>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</si>
  <si>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</si>
  <si>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</si>
  <si>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</si>
  <si>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</si>
  <si>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</si>
  <si>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</si>
  <si>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</si>
  <si>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</si>
  <si>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</si>
  <si>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</si>
  <si>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</si>
  <si>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</si>
  <si>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</si>
  <si>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</si>
  <si>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</si>
  <si>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</si>
  <si>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</si>
  <si>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</si>
  <si>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</si>
  <si>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</si>
  <si>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</si>
  <si>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</si>
  <si>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</si>
  <si>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</si>
  <si>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</si>
  <si>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</si>
  <si>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</si>
  <si>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</si>
  <si>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</si>
  <si>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</si>
  <si>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</si>
  <si>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</si>
  <si>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</si>
  <si>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</si>
  <si>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</si>
  <si>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</si>
  <si>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</si>
  <si>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</si>
  <si>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</si>
  <si>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</si>
  <si>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</si>
  <si>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</si>
  <si>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</si>
  <si>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</si>
  <si>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</si>
  <si>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</si>
  <si>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</si>
  <si>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</si>
  <si>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</si>
  <si>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</si>
  <si>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</si>
  <si>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</si>
  <si>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</si>
  <si>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</si>
  <si>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</si>
  <si>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</si>
  <si>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</si>
  <si>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</si>
  <si>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</si>
  <si>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</si>
  <si>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</si>
  <si>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</si>
  <si>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</si>
  <si>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</si>
  <si>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</si>
  <si>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</si>
  <si>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</si>
  <si>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</si>
  <si>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</si>
  <si>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</si>
  <si>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</si>
  <si>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</si>
  <si>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</si>
  <si>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</si>
  <si>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</si>
  <si>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</si>
  <si>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</si>
  <si>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</si>
  <si>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</si>
  <si>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</si>
  <si>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</si>
  <si>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</si>
  <si>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</si>
  <si>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</si>
  <si>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</si>
  <si>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</si>
  <si>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</si>
  <si>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</si>
  <si>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</si>
  <si>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</si>
  <si>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</si>
  <si>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</si>
  <si>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</si>
  <si>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</si>
  <si>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</si>
  <si>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</si>
  <si>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</si>
  <si>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</si>
  <si>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</si>
  <si>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</si>
  <si>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</si>
  <si>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</si>
  <si>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</si>
  <si>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</si>
  <si>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</si>
  <si>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</si>
  <si>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</si>
  <si>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</si>
  <si>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</si>
  <si>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</si>
  <si>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</si>
  <si>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</si>
  <si>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</si>
  <si>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</si>
  <si>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</si>
  <si>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</si>
  <si>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</si>
  <si>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</si>
  <si>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</si>
  <si>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</si>
  <si>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</si>
  <si>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</si>
  <si>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</si>
  <si>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</si>
  <si>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</si>
  <si>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</si>
  <si>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</si>
  <si>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</si>
  <si>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</si>
  <si>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</si>
  <si>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</si>
  <si>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</si>
  <si>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</si>
  <si>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</si>
  <si>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</si>
  <si>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</si>
  <si>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</si>
  <si>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</si>
  <si>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</si>
  <si>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</si>
  <si>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</si>
  <si>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</si>
  <si>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</si>
  <si>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</si>
  <si>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</si>
  <si>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</si>
  <si>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</si>
  <si>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</si>
  <si>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</si>
  <si>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</si>
  <si>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</si>
  <si>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</si>
  <si>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</si>
  <si>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</si>
  <si>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</si>
  <si>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</si>
  <si>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</si>
  <si>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</si>
  <si>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</si>
  <si>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</si>
  <si>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</si>
  <si>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</si>
  <si>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</si>
  <si>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</si>
  <si>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</si>
  <si>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</si>
  <si>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</si>
  <si>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</si>
  <si>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</si>
  <si>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</si>
  <si>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</si>
  <si>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</si>
  <si>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</si>
  <si>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</si>
  <si>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</si>
  <si>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</si>
  <si>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</si>
  <si>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</si>
  <si>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</si>
  <si>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</si>
  <si>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</si>
  <si>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</si>
  <si>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</si>
  <si>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</si>
  <si>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</si>
  <si>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</si>
  <si>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</si>
  <si>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</si>
  <si>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</si>
  <si>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</si>
  <si>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</si>
  <si>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</si>
  <si>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</si>
  <si>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</si>
  <si>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</si>
  <si>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</si>
  <si>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</si>
  <si>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</si>
  <si>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</si>
  <si>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</si>
  <si>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</si>
  <si>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</si>
  <si>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</si>
  <si>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</si>
  <si>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</si>
  <si>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</si>
  <si>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</si>
  <si>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</si>
  <si>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</si>
  <si>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</si>
  <si>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</si>
  <si>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</si>
  <si>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</si>
  <si>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</si>
  <si>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</si>
  <si>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</si>
  <si>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</si>
  <si>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</si>
  <si>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</si>
  <si>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</si>
  <si>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</si>
  <si>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</si>
  <si>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</si>
  <si>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</si>
  <si>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</si>
  <si>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</si>
  <si>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</si>
  <si>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</si>
  <si>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</si>
  <si>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</si>
  <si>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</si>
  <si>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</si>
  <si>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</si>
  <si>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</si>
  <si>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</si>
  <si>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</si>
  <si>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</si>
  <si>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</si>
  <si>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</si>
  <si>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</si>
  <si>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</si>
  <si>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</si>
  <si>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</si>
  <si>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</si>
  <si>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</si>
  <si>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</si>
  <si>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</si>
  <si>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</si>
  <si>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</si>
  <si>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</si>
  <si>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</si>
  <si>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</si>
  <si>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</si>
  <si>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</si>
  <si>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</si>
  <si>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</si>
  <si>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</si>
  <si>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</si>
  <si>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</si>
  <si>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</si>
  <si>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</si>
  <si>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</si>
  <si>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</si>
  <si>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</si>
  <si>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</si>
  <si>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</si>
  <si>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</si>
  <si>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</si>
  <si>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</si>
  <si>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</si>
  <si>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</si>
  <si>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</si>
  <si>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</si>
  <si>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</si>
  <si>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</si>
  <si>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</si>
  <si>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</si>
  <si>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</si>
  <si>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</si>
  <si>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</si>
  <si>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</si>
  <si>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</si>
  <si>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</si>
  <si>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</si>
  <si>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</si>
  <si>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</si>
  <si>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</si>
  <si>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</si>
  <si>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</si>
  <si>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</si>
  <si>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</si>
  <si>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</si>
  <si>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</si>
  <si>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</si>
  <si>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</si>
  <si>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</si>
  <si>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</si>
  <si>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</si>
  <si>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</si>
  <si>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</si>
  <si>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</si>
  <si>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</si>
  <si>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</si>
  <si>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</si>
  <si>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</si>
  <si>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</si>
  <si>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</si>
  <si>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</si>
  <si>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</si>
  <si>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</si>
  <si>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</si>
  <si>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</si>
  <si>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</si>
  <si>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</si>
  <si>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</si>
  <si>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</si>
  <si>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</si>
  <si>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</si>
  <si>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</si>
  <si>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</si>
  <si>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</si>
  <si>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</si>
  <si>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</si>
  <si>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</si>
  <si>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</si>
  <si>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</si>
  <si>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</si>
  <si>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</si>
  <si>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</si>
  <si>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</si>
  <si>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</si>
  <si>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</si>
  <si>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</si>
  <si>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</si>
  <si>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</si>
  <si>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</si>
  <si>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</si>
  <si>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</si>
  <si>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</si>
  <si>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</si>
  <si>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</si>
  <si>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</si>
  <si>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</si>
  <si>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</si>
  <si>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</si>
  <si>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</si>
  <si>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</si>
  <si>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</si>
  <si>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</si>
  <si>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</si>
  <si>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</si>
  <si>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</si>
  <si>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</si>
  <si>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</si>
  <si>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</si>
  <si>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</si>
  <si>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</si>
  <si>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</si>
  <si>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</si>
  <si>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</si>
  <si>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</si>
  <si>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</si>
  <si>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</si>
  <si>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</si>
  <si>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</si>
  <si>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</si>
  <si>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</si>
  <si>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</si>
  <si>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</si>
  <si>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</si>
  <si>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</si>
  <si>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</si>
  <si>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</si>
  <si>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</si>
  <si>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</si>
  <si>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</si>
  <si>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</si>
  <si>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</si>
  <si>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</si>
  <si>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</si>
  <si>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</si>
  <si>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</si>
  <si>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</si>
  <si>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</si>
  <si>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</si>
  <si>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</si>
  <si>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</si>
  <si>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</si>
  <si>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</si>
  <si>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</si>
  <si>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</si>
  <si>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</si>
  <si>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</si>
  <si>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</si>
  <si>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</si>
  <si>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</si>
  <si>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</si>
  <si>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</si>
  <si>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</si>
  <si>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</si>
  <si>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</si>
  <si>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</si>
  <si>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</si>
  <si>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</si>
  <si>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</si>
  <si>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</si>
  <si>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</si>
  <si>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</si>
  <si>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</si>
  <si>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</si>
  <si>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</si>
  <si>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</si>
  <si>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</si>
  <si>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</si>
  <si>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</si>
  <si>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</si>
  <si>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</si>
  <si>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</si>
  <si>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</si>
  <si>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</si>
  <si>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</si>
  <si>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</si>
  <si>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</si>
  <si>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</si>
  <si>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</si>
  <si>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</si>
  <si>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</si>
  <si>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</si>
  <si>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</si>
  <si>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</si>
  <si>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</si>
  <si>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</si>
  <si>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</si>
  <si>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</si>
  <si>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</si>
  <si>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</si>
  <si>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</si>
  <si>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</si>
  <si>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</si>
  <si>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</si>
  <si>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</si>
  <si>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</si>
  <si>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</si>
  <si>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</si>
  <si>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</si>
  <si>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</si>
  <si>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</si>
  <si>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</si>
  <si>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</si>
  <si>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</si>
  <si>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</si>
  <si>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</si>
  <si>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</si>
  <si>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</si>
  <si>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</si>
  <si>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</si>
  <si>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</si>
  <si>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</si>
  <si>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</si>
  <si>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</si>
  <si>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</si>
  <si>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</si>
  <si>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</si>
  <si>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</si>
  <si>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</si>
  <si>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</si>
  <si>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</si>
  <si>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</si>
  <si>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</si>
  <si>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</si>
  <si>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</si>
  <si>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</si>
  <si>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</si>
  <si>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</si>
  <si>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</si>
  <si>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</si>
  <si>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</si>
  <si>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</si>
  <si>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</si>
  <si>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</si>
  <si>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</si>
  <si>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</si>
  <si>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</si>
  <si>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</si>
  <si>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</si>
  <si>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</si>
  <si>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</si>
  <si>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</si>
  <si>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</si>
  <si>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</si>
  <si>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</si>
  <si>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</si>
  <si>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</si>
  <si>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</si>
  <si>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</si>
  <si>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</si>
  <si>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</si>
  <si>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</si>
  <si>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</si>
  <si>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</si>
  <si>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</si>
  <si>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</si>
  <si>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</si>
  <si>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</si>
  <si>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</si>
  <si>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</si>
  <si>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</si>
  <si>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</si>
  <si>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</si>
  <si>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</si>
  <si>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</si>
  <si>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</si>
  <si>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</si>
  <si>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</si>
  <si>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</si>
  <si>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</si>
  <si>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</si>
  <si>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</si>
  <si>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</si>
  <si>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</si>
  <si>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</si>
  <si>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</si>
  <si>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</si>
  <si>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</si>
  <si>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</si>
  <si>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</si>
  <si>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</si>
  <si>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</si>
  <si>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</si>
  <si>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</si>
  <si>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</si>
  <si>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</si>
  <si>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</si>
  <si>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</si>
  <si>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</si>
  <si>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</si>
  <si>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</si>
  <si>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</si>
  <si>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</si>
  <si>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</si>
  <si>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</si>
  <si>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</si>
  <si>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</si>
  <si>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</si>
  <si>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</si>
  <si>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</si>
  <si>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</si>
  <si>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</si>
  <si>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</si>
  <si>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</si>
  <si>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</si>
  <si>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</si>
  <si>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</si>
  <si>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</si>
  <si>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</si>
  <si>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</si>
  <si>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</si>
  <si>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</si>
  <si>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</si>
  <si>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</si>
  <si>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</si>
  <si>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</si>
  <si>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</si>
  <si>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</si>
  <si>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</si>
  <si>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</si>
  <si>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</si>
  <si>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</si>
  <si>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</si>
  <si>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</si>
  <si>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</si>
  <si>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</si>
  <si>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</si>
  <si>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</si>
  <si>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</si>
  <si>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</si>
  <si>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</si>
  <si>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</si>
  <si>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</si>
  <si>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</si>
  <si>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</si>
  <si>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</si>
  <si>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</si>
  <si>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</si>
  <si>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</si>
  <si>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</si>
  <si>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</si>
  <si>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</si>
  <si>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</si>
  <si>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</si>
  <si>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</si>
  <si>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</si>
  <si>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</si>
  <si>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</si>
  <si>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</si>
  <si>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</si>
  <si>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</si>
  <si>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</si>
  <si>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</si>
  <si>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</si>
  <si>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</si>
  <si>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</si>
  <si>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</si>
  <si>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</si>
  <si>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</si>
  <si>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</si>
  <si>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</si>
  <si>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</si>
  <si>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</si>
  <si>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</si>
  <si>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</si>
  <si>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</si>
  <si>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</si>
  <si>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</si>
  <si>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</si>
  <si>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</si>
  <si>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</si>
  <si>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</si>
  <si>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</si>
  <si>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</si>
  <si>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</si>
  <si>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</si>
  <si>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</si>
  <si>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</si>
  <si>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</si>
  <si>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</si>
  <si>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</si>
  <si>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</si>
  <si>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</si>
  <si>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</si>
  <si>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</si>
  <si>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</si>
  <si>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</si>
  <si>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</si>
  <si>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</si>
  <si>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</si>
  <si>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</si>
  <si>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</si>
  <si>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</si>
  <si>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</si>
  <si>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</si>
  <si>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</si>
  <si>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</si>
  <si>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</si>
  <si>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</si>
  <si>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</si>
  <si>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</si>
  <si>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</si>
  <si>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</si>
  <si>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</si>
  <si>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</si>
  <si>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</si>
  <si>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</si>
  <si>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</si>
  <si>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</si>
  <si>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</si>
  <si>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</si>
  <si>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</si>
  <si>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</si>
  <si>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</si>
  <si>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</si>
  <si>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</si>
  <si>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</si>
  <si>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</si>
  <si>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</si>
  <si>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</si>
  <si>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</si>
  <si>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</si>
  <si>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</si>
  <si>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</si>
  <si>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</si>
  <si>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</si>
  <si>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</si>
  <si>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</si>
  <si>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</si>
  <si>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</si>
  <si>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</si>
  <si>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</si>
  <si>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</si>
  <si>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</si>
  <si>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</si>
  <si>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</si>
  <si>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</si>
  <si>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</si>
  <si>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</si>
  <si>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</si>
  <si>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</si>
  <si>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</si>
  <si>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</si>
  <si>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</si>
  <si>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</si>
  <si>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</si>
  <si>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</si>
  <si>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</si>
  <si>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</si>
  <si>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</si>
  <si>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</si>
  <si>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</si>
  <si>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</si>
  <si>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</si>
  <si>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</si>
  <si>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</si>
  <si>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</si>
  <si>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</si>
  <si>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</si>
  <si>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</si>
  <si>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</si>
  <si>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</si>
  <si>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</si>
  <si>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</si>
  <si>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</si>
  <si>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</si>
  <si>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</si>
  <si>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</si>
  <si>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</si>
  <si>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</si>
  <si>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</si>
  <si>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</si>
  <si>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</si>
  <si>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</si>
  <si>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</si>
  <si>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</si>
  <si>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</si>
  <si>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</si>
  <si>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</si>
  <si>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</si>
  <si>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</si>
  <si>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</si>
  <si>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</si>
  <si>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</si>
  <si>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</si>
  <si>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</si>
  <si>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</si>
  <si>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</si>
  <si>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</si>
  <si>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</si>
  <si>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</si>
  <si>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</si>
  <si>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</si>
  <si>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</si>
  <si>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</si>
  <si>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</si>
  <si>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</si>
  <si>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</si>
  <si>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</si>
  <si>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</si>
  <si>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</si>
  <si>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</si>
  <si>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</si>
  <si>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</si>
  <si>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</si>
  <si>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</si>
  <si>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</si>
  <si>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</si>
  <si>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</si>
  <si>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</si>
  <si>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</si>
  <si>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</si>
  <si>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</si>
  <si>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</si>
  <si>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</si>
  <si>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</si>
  <si>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</si>
  <si>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</si>
  <si>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</si>
  <si>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</si>
  <si>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</si>
  <si>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</si>
  <si>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</si>
  <si>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</si>
  <si>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</si>
  <si>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</si>
  <si>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</si>
  <si>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</si>
  <si>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</si>
  <si>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</si>
  <si>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</si>
  <si>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</si>
  <si>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</si>
  <si>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</si>
  <si>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</si>
  <si>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</si>
  <si>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</si>
  <si>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</si>
  <si>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</si>
  <si>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</si>
  <si>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</si>
  <si>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</si>
  <si>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</si>
  <si>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</si>
  <si>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</si>
  <si>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</si>
  <si>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</si>
  <si>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</si>
  <si>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</si>
  <si>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</si>
  <si>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</si>
  <si>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</si>
  <si>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</si>
  <si>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</si>
  <si>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</si>
  <si>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</si>
  <si>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</si>
  <si>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</si>
  <si>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</si>
  <si>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</si>
  <si>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</si>
  <si>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</si>
  <si>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</si>
  <si>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</si>
  <si>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</si>
  <si>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</si>
  <si>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</si>
  <si>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</si>
  <si>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</si>
  <si>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</si>
  <si>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</si>
  <si>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</si>
  <si>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</si>
  <si>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</si>
  <si>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</si>
  <si>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</si>
  <si>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</si>
  <si>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</si>
  <si>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</si>
  <si>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</si>
  <si>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</si>
  <si>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</si>
  <si>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</si>
  <si>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</si>
  <si>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</si>
  <si>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</si>
  <si>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</si>
  <si>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</si>
  <si>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</si>
  <si>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</si>
  <si>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</si>
  <si>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</si>
  <si>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</si>
  <si>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</si>
  <si>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</si>
  <si>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</si>
  <si>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</si>
  <si>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</si>
  <si>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</si>
  <si>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</si>
  <si>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</si>
  <si>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</si>
  <si>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</si>
  <si>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</si>
  <si>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</si>
  <si>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</si>
  <si>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</si>
  <si>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</si>
  <si>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</si>
  <si>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</si>
  <si>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</si>
  <si>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</si>
  <si>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</si>
  <si>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</si>
  <si>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</si>
  <si>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</si>
  <si>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</si>
  <si>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</si>
  <si>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</si>
  <si>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</si>
  <si>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</si>
  <si>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</si>
  <si>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</si>
  <si>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</si>
  <si>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</si>
  <si>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</si>
  <si>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</si>
  <si>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</si>
  <si>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</si>
  <si>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</si>
  <si>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</si>
  <si>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</si>
  <si>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</si>
  <si>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</si>
  <si>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</si>
  <si>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</si>
  <si>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</si>
  <si>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</si>
  <si>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</si>
  <si>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</si>
  <si>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</si>
  <si>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</si>
  <si>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</si>
  <si>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</si>
  <si>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</si>
  <si>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</si>
  <si>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</si>
  <si>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</si>
  <si>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</si>
  <si>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</si>
  <si>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</si>
  <si>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</si>
  <si>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</si>
  <si>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</si>
  <si>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</si>
  <si>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</si>
  <si>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</si>
  <si>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</si>
  <si>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</si>
  <si>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</si>
  <si>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</si>
  <si>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</si>
  <si>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</si>
  <si>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</si>
  <si>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</si>
  <si>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</si>
  <si>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</si>
  <si>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</si>
  <si>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</si>
  <si>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</si>
  <si>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</si>
  <si>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</si>
  <si>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</si>
  <si>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</si>
  <si>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</si>
  <si>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</si>
  <si>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</si>
  <si>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</si>
  <si>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</si>
  <si>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</si>
  <si>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</si>
  <si>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</si>
  <si>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</si>
  <si>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</si>
  <si>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</si>
  <si>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</si>
  <si>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</si>
  <si>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</si>
  <si>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</si>
  <si>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</si>
  <si>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</si>
  <si>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</si>
  <si>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</si>
  <si>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</si>
  <si>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</si>
  <si>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</si>
  <si>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</si>
  <si>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</si>
  <si>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</si>
  <si>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</si>
  <si>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</si>
  <si>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</si>
  <si>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</si>
  <si>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</si>
  <si>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</si>
  <si>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</si>
  <si>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</si>
  <si>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</si>
  <si>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</si>
  <si>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</si>
  <si>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</si>
  <si>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</si>
  <si>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</si>
  <si>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</si>
  <si>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</si>
  <si>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</si>
  <si>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</si>
  <si>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</si>
  <si>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</si>
  <si>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</si>
  <si>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</si>
  <si>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</si>
  <si>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</si>
  <si>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</si>
  <si>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</si>
  <si>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</si>
  <si>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</si>
  <si>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</si>
  <si>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</si>
  <si>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</si>
  <si>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</si>
  <si>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</si>
  <si>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</si>
  <si>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</si>
  <si>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</si>
  <si>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</si>
  <si>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</si>
  <si>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</si>
  <si>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</si>
  <si>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</si>
  <si>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</si>
  <si>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</si>
  <si>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</si>
  <si>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</si>
  <si>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</si>
  <si>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</si>
  <si>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</si>
  <si>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</si>
  <si>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</si>
  <si>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</si>
  <si>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</si>
  <si>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</si>
  <si>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</si>
  <si>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</si>
  <si>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</si>
  <si>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</si>
  <si>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</si>
  <si>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</si>
  <si>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</si>
  <si>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</si>
  <si>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</si>
  <si>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</si>
  <si>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</si>
  <si>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</si>
  <si>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</si>
  <si>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</si>
  <si>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</si>
  <si>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</si>
  <si>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</si>
  <si>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</si>
  <si>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</si>
  <si>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</si>
  <si>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</si>
  <si>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</si>
  <si>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</si>
  <si>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</si>
  <si>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</si>
  <si>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</si>
  <si>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</si>
  <si>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</si>
  <si>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</si>
  <si>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</si>
  <si>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</si>
  <si>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</si>
  <si>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</si>
  <si>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</si>
  <si>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</si>
  <si>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</si>
  <si>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</si>
  <si>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</si>
  <si>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</si>
  <si>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</si>
  <si>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</si>
  <si>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</si>
  <si>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</si>
  <si>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</si>
  <si>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</si>
  <si>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</si>
  <si>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</si>
  <si>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</si>
  <si>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</si>
  <si>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</si>
  <si>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</si>
  <si>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</si>
  <si>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</si>
  <si>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</si>
  <si>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</si>
  <si>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</si>
  <si>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</si>
  <si>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</si>
  <si>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</si>
  <si>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</si>
  <si>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</si>
  <si>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</si>
  <si>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</si>
  <si>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</si>
  <si>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</si>
  <si>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</si>
  <si>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</si>
  <si>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</si>
  <si>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</si>
  <si>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</si>
  <si>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</si>
  <si>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</si>
  <si>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</si>
  <si>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</si>
  <si>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</si>
  <si>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</si>
  <si>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</si>
  <si>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</si>
  <si>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</si>
  <si>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</si>
  <si>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</si>
  <si>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</si>
  <si>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</si>
  <si>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</si>
  <si>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</si>
  <si>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</si>
  <si>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</si>
  <si>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</si>
  <si>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</si>
  <si>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</si>
  <si>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</si>
  <si>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</si>
  <si>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</si>
  <si>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</si>
  <si>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</si>
  <si>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</si>
  <si>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</si>
  <si>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</si>
  <si>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</si>
  <si>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</si>
  <si>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</si>
  <si>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</si>
  <si>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</si>
  <si>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</si>
  <si>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</si>
  <si>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</si>
  <si>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</si>
  <si>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</si>
  <si>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</si>
  <si>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</si>
  <si>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</si>
  <si>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</si>
  <si>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</si>
  <si>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</si>
  <si>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</si>
  <si>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</si>
  <si>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</si>
  <si>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</si>
  <si>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</si>
  <si>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</si>
  <si>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</si>
  <si>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</si>
  <si>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</si>
  <si>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</si>
  <si>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</si>
  <si>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</si>
  <si>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</si>
  <si>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</si>
  <si>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</si>
  <si>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</si>
  <si>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</si>
  <si>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</si>
  <si>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</si>
  <si>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</si>
  <si>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</si>
  <si>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</si>
  <si>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</si>
  <si>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</si>
  <si>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</si>
  <si>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</si>
  <si>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</si>
  <si>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</si>
  <si>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</si>
  <si>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</si>
  <si>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</si>
  <si>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</si>
  <si>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</si>
  <si>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</si>
  <si>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</si>
  <si>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</si>
  <si>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</si>
  <si>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</si>
  <si>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</si>
  <si>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</si>
  <si>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</si>
  <si>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</si>
  <si>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</si>
  <si>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</si>
  <si>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</si>
  <si>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</si>
  <si>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</si>
  <si>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</si>
  <si>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</si>
  <si>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</si>
  <si>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</si>
  <si>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</si>
  <si>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</si>
  <si>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</si>
  <si>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</si>
  <si>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</si>
  <si>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</si>
  <si>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</si>
  <si>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</si>
  <si>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</si>
  <si>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</si>
  <si>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</si>
  <si>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</si>
  <si>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</si>
  <si>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</si>
  <si>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</si>
  <si>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</si>
  <si>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</si>
  <si>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</si>
  <si>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</si>
  <si>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</si>
  <si>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</si>
  <si>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</si>
  <si>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</si>
  <si>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</si>
  <si>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</si>
  <si>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</si>
  <si>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</si>
  <si>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</si>
  <si>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</si>
  <si>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</si>
  <si>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</si>
  <si>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</si>
  <si>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</si>
  <si>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</si>
  <si>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</si>
  <si>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</si>
  <si>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</si>
  <si>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</si>
  <si>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</si>
  <si>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</si>
  <si>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</si>
  <si>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</si>
  <si>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</si>
  <si>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</si>
  <si>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</si>
  <si>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</si>
  <si>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</si>
  <si>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</si>
  <si>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</si>
  <si>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</si>
  <si>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</si>
  <si>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</si>
  <si>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</si>
  <si>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</si>
  <si>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</si>
  <si>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</si>
  <si>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</si>
  <si>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</si>
  <si>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</si>
  <si>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</si>
  <si>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</si>
  <si>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</si>
  <si>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</si>
  <si>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</si>
  <si>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</si>
  <si>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</si>
  <si>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</si>
  <si>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</si>
  <si>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</si>
  <si>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</si>
  <si>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</si>
  <si>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</si>
  <si>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</si>
  <si>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</si>
  <si>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</si>
  <si>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</si>
  <si>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</si>
  <si>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</si>
  <si>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</si>
  <si>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</si>
  <si>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</si>
  <si>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</si>
  <si>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</si>
  <si>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</si>
  <si>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</si>
  <si>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</si>
  <si>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</si>
  <si>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</si>
  <si>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</si>
  <si>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</si>
  <si>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</si>
  <si>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</si>
  <si>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</si>
  <si>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</si>
  <si>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</si>
  <si>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</si>
  <si>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</si>
  <si>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</si>
  <si>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</si>
  <si>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</si>
  <si>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</si>
  <si>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</si>
  <si>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</si>
  <si>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</si>
  <si>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</si>
  <si>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</si>
  <si>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</si>
  <si>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</si>
  <si>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</si>
  <si>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</si>
  <si>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</si>
  <si>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</si>
  <si>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</si>
  <si>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</si>
  <si>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</si>
  <si>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</si>
  <si>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</si>
  <si>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</si>
  <si>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</si>
  <si>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</si>
  <si>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</si>
  <si>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</si>
  <si>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</si>
  <si>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</si>
  <si>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</si>
  <si>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</si>
  <si>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</si>
  <si>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</si>
  <si>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</si>
  <si>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</si>
  <si>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</si>
  <si>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</si>
  <si>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</si>
  <si>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</si>
  <si>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</si>
  <si>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</si>
  <si>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</si>
  <si>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</si>
  <si>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</si>
  <si>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</si>
  <si>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</si>
  <si>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</si>
  <si>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</si>
  <si>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</si>
  <si>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</si>
  <si>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</si>
  <si>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</si>
  <si>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</si>
  <si>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</si>
  <si>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</si>
  <si>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</si>
  <si>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</si>
  <si>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</si>
  <si>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</si>
  <si>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</si>
  <si>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</si>
  <si>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</si>
  <si>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</si>
  <si>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</si>
  <si>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</si>
  <si>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</si>
  <si>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</si>
  <si>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</si>
  <si>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</si>
  <si>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</si>
  <si>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</si>
  <si>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</si>
  <si>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</si>
  <si>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</si>
  <si>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</si>
  <si>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</si>
  <si>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</si>
  <si>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</si>
  <si>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</si>
  <si>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</si>
  <si>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</si>
  <si>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</si>
  <si>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</si>
  <si>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</si>
  <si>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</si>
  <si>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</si>
  <si>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</si>
  <si>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</si>
  <si>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</si>
  <si>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</si>
  <si>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</si>
  <si>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</si>
  <si>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</si>
  <si>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</si>
  <si>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</si>
  <si>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</si>
  <si>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</si>
  <si>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</si>
  <si>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</si>
  <si>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</si>
  <si>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</si>
  <si>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</si>
  <si>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</si>
  <si>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</si>
  <si>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</si>
  <si>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</si>
  <si>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</si>
  <si>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</si>
  <si>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</si>
  <si>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</si>
  <si>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</si>
  <si>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</si>
  <si>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</si>
  <si>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</si>
  <si>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</si>
  <si>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</si>
  <si>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</si>
  <si>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</si>
  <si>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</si>
  <si>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</si>
  <si>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</si>
  <si>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</si>
  <si>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</si>
  <si>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</si>
  <si>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</si>
  <si>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</si>
  <si>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</si>
  <si>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</si>
  <si>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</si>
  <si>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</si>
  <si>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</si>
  <si>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</si>
  <si>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</si>
  <si>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</si>
  <si>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</si>
  <si>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</si>
  <si>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</si>
  <si>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</si>
  <si>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</si>
  <si>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</si>
  <si>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</si>
  <si>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</si>
  <si>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</si>
  <si>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</si>
  <si>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</si>
  <si>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</si>
  <si>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</si>
  <si>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</si>
  <si>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</si>
  <si>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</si>
  <si>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</si>
  <si>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</si>
  <si>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</si>
  <si>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</si>
  <si>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</si>
  <si>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</si>
  <si>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</si>
  <si>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</si>
  <si>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</si>
  <si>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</si>
  <si>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</si>
  <si>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</si>
  <si>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</si>
  <si>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</si>
  <si>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</si>
  <si>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</si>
  <si>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</si>
  <si>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</si>
  <si>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</si>
  <si>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</si>
  <si>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</si>
  <si>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</si>
  <si>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</si>
  <si>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</si>
  <si>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</si>
  <si>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</si>
  <si>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</si>
  <si>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</si>
  <si>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</si>
  <si>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</si>
  <si>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</si>
  <si>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</si>
  <si>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</si>
  <si>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</si>
  <si>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</si>
  <si>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</si>
  <si>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</si>
  <si>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</si>
  <si>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</si>
  <si>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</si>
  <si>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</si>
  <si>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</si>
  <si>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</si>
  <si>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</si>
  <si>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</si>
  <si>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</si>
  <si>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</si>
  <si>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</si>
  <si>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</si>
  <si>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</si>
  <si>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</si>
  <si>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</si>
  <si>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</si>
  <si>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</si>
  <si>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</si>
  <si>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</si>
  <si>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</si>
  <si>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</si>
  <si>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</si>
  <si>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</si>
  <si>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</si>
  <si>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</si>
  <si>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</si>
  <si>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</si>
  <si>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</si>
  <si>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</si>
  <si>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</si>
  <si>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</si>
  <si>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</si>
  <si>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</si>
  <si>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</si>
  <si>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</si>
  <si>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</si>
  <si>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</si>
  <si>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</si>
  <si>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</si>
  <si>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</si>
  <si>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</si>
  <si>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</si>
  <si>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</si>
  <si>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</si>
  <si>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</si>
  <si>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</si>
  <si>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</si>
  <si>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</si>
  <si>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</si>
  <si>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</si>
  <si>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</si>
  <si>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</si>
  <si>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</si>
  <si>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</si>
  <si>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</si>
  <si>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</si>
  <si>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</si>
  <si>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</si>
  <si>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</si>
  <si>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</si>
  <si>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</si>
  <si>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</si>
  <si>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</si>
  <si>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</si>
  <si>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</si>
  <si>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</si>
  <si>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</si>
  <si>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</si>
  <si>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</si>
  <si>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</si>
  <si>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</si>
  <si>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</si>
  <si>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</si>
  <si>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</si>
  <si>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</si>
  <si>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</si>
  <si>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</si>
  <si>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</si>
  <si>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</si>
  <si>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</si>
  <si>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</si>
  <si>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</si>
  <si>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</si>
  <si>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</si>
  <si>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</si>
  <si>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</si>
  <si>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</si>
  <si>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</si>
  <si>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</si>
  <si>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</si>
  <si>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</si>
  <si>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</si>
  <si>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</si>
  <si>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</si>
  <si>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</si>
  <si>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</si>
  <si>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</si>
  <si>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</si>
  <si>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</si>
  <si>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</si>
  <si>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</si>
  <si>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</si>
  <si>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</si>
  <si>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</si>
  <si>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</si>
  <si>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</si>
  <si>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</si>
  <si>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</si>
  <si>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</si>
  <si>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</si>
  <si>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</si>
  <si>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</si>
  <si>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</si>
  <si>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</si>
  <si>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</si>
  <si>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</si>
  <si>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</si>
  <si>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</si>
  <si>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</si>
  <si>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</si>
  <si>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</si>
  <si>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</si>
  <si>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</si>
  <si>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</si>
  <si>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</si>
  <si>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</si>
  <si>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</si>
  <si>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</si>
  <si>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</si>
  <si>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</si>
  <si>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</si>
  <si>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</si>
  <si>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</si>
  <si>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</si>
  <si>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</si>
  <si>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</si>
  <si>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</si>
  <si>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</si>
  <si>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</si>
  <si>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</si>
  <si>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</si>
  <si>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</si>
  <si>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</si>
  <si>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</si>
  <si>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</si>
  <si>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</si>
  <si>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</si>
  <si>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</si>
  <si>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</si>
  <si>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</si>
  <si>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</si>
  <si>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</si>
  <si>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</si>
  <si>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</si>
  <si>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</si>
  <si>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</si>
  <si>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</si>
  <si>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</si>
  <si>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</si>
  <si>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</si>
  <si>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</si>
  <si>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</si>
  <si>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</si>
  <si>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</si>
  <si>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</si>
  <si>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</si>
  <si>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</si>
  <si>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</si>
  <si>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</si>
  <si>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</si>
  <si>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</si>
  <si>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</si>
  <si>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</si>
  <si>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</si>
  <si>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</si>
  <si>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</si>
  <si>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</si>
  <si>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</si>
  <si>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</si>
  <si>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</si>
  <si>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</si>
  <si>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</si>
  <si>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</si>
  <si>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</si>
  <si>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</si>
  <si>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</si>
  <si>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</si>
  <si>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</si>
  <si>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</si>
  <si>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</si>
  <si>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</si>
  <si>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</si>
  <si>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</si>
  <si>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</si>
  <si>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</si>
  <si>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</si>
  <si>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</si>
  <si>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</si>
  <si>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</si>
  <si>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</si>
  <si>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</si>
  <si>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</si>
  <si>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</si>
  <si>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</si>
  <si>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</si>
  <si>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</si>
  <si>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</si>
  <si>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</si>
  <si>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</si>
  <si>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</si>
  <si>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</si>
  <si>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</si>
  <si>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</si>
  <si>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</si>
  <si>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</si>
  <si>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</si>
  <si>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</si>
  <si>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</si>
  <si>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</si>
  <si>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</si>
  <si>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</si>
  <si>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</si>
  <si>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</si>
  <si>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</si>
  <si>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</si>
  <si>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</si>
  <si>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</si>
  <si>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</si>
  <si>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</si>
  <si>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</si>
  <si>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</si>
  <si>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</si>
  <si>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</si>
  <si>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</si>
  <si>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</si>
  <si>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</si>
  <si>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</si>
  <si>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</si>
  <si>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</si>
  <si>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</si>
  <si>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</si>
  <si>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</si>
  <si>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</si>
  <si>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</si>
  <si>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P-0066</t>
  </si>
  <si>
    <t>Consignacion cliente Tiendas La Sabana Ltda</t>
  </si>
  <si>
    <t>C-0037</t>
  </si>
  <si>
    <t>Pago almacenes La Bodega del Pan ltda</t>
  </si>
  <si>
    <t>P-0067</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</si>
  <si>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</si>
  <si>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</si>
  <si>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</si>
  <si>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</si>
  <si>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</si>
  <si>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</si>
  <si>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</si>
  <si>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</si>
  <si>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</si>
  <si>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</si>
  <si>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</si>
  <si>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</si>
  <si>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</si>
  <si>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</si>
  <si>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</si>
  <si>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</si>
  <si>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</si>
  <si>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</si>
  <si>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</si>
  <si>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</si>
  <si>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</si>
  <si>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</si>
  <si>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</si>
  <si>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</si>
  <si>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</si>
  <si>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</si>
  <si>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</si>
  <si>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</si>
  <si>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</si>
  <si>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</si>
  <si>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</si>
  <si>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</si>
  <si>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</si>
  <si>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</si>
  <si>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</si>
  <si>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</si>
  <si>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</si>
  <si>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</si>
  <si>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</si>
  <si>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</si>
  <si>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</si>
  <si>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</si>
  <si>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</si>
  <si>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</si>
  <si>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</si>
  <si>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</si>
  <si>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</si>
  <si>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</si>
  <si>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</si>
  <si>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</si>
  <si>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</si>
  <si>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</si>
  <si>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</si>
  <si>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</si>
  <si>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</si>
  <si>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</si>
  <si>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</si>
  <si>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</si>
  <si>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</si>
  <si>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</si>
  <si>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</si>
  <si>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</si>
  <si>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</si>
  <si>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</si>
  <si>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</si>
  <si>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</si>
  <si>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</si>
  <si>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</si>
  <si>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</si>
  <si>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</si>
  <si>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</si>
  <si>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</si>
  <si>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</si>
  <si>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</si>
  <si>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</si>
  <si>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</si>
  <si>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</si>
  <si>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</si>
  <si>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</si>
  <si>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</si>
  <si>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</si>
  <si>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</si>
  <si>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</si>
  <si>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</si>
  <si>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</si>
  <si>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</si>
  <si>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</si>
  <si>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</si>
  <si>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</si>
  <si>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</si>
  <si>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</si>
  <si>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</si>
  <si>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</si>
  <si>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</si>
  <si>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</si>
  <si>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</si>
  <si>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</si>
  <si>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</si>
  <si>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</si>
  <si>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</si>
  <si>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</si>
  <si>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</si>
  <si>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</si>
  <si>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</si>
  <si>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</si>
  <si>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</si>
  <si>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</si>
  <si>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</si>
  <si>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</si>
  <si>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</si>
  <si>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</si>
  <si>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</si>
  <si>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</si>
  <si>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</si>
  <si>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</si>
  <si>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</si>
  <si>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</si>
  <si>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</si>
  <si>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</si>
  <si>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</si>
  <si>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</si>
  <si>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</si>
  <si>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</si>
  <si>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</si>
  <si>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</si>
  <si>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</si>
  <si>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</si>
  <si>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</si>
  <si>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</si>
  <si>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</si>
  <si>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</si>
  <si>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</si>
  <si>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</si>
  <si>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</si>
  <si>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</si>
  <si>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</si>
  <si>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</si>
  <si>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</si>
  <si>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</si>
  <si>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</si>
  <si>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</si>
  <si>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</si>
  <si>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</si>
  <si>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</si>
  <si>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</si>
  <si>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</si>
  <si>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</si>
  <si>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</si>
  <si>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</si>
  <si>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</si>
  <si>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</si>
  <si>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</si>
  <si>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</si>
  <si>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</si>
  <si>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</si>
  <si>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</si>
  <si>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TRANSFERENCIA CTA SUC VIRTUAL </t>
  </si>
  <si>
    <t>Transferencia Cta Sucursal Virtual</t>
  </si>
  <si>
    <t xml:space="preserve">Consignacion Cliente SurtuTodo S.A.S </t>
  </si>
  <si>
    <t xml:space="preserve">CUOTA MANEJO TARJETA DEBITO </t>
  </si>
  <si>
    <t xml:space="preserve">RETIRO CAJERO MALAGA </t>
  </si>
  <si>
    <t xml:space="preserve">COMISION RETIRO CAJERO </t>
  </si>
  <si>
    <t xml:space="preserve">AJUSTE INTERES AHORROS DB </t>
  </si>
  <si>
    <t xml:space="preserve">Transferencia Qr </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</si>
  <si>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</si>
  <si>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</si>
  <si>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</si>
  <si>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</si>
  <si>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</si>
  <si>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</si>
  <si>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</si>
  <si>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</si>
  <si>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</si>
  <si>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</si>
  <si>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</si>
  <si>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</si>
  <si>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</si>
  <si>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</si>
  <si>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</si>
  <si>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</si>
  <si>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</si>
  <si>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</si>
  <si>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</si>
  <si>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</si>
  <si>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</si>
  <si>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</si>
  <si>
    <t>tbl_registro_mayor_8</t>
  </si>
  <si>
    <t>Compra a credito 2</t>
  </si>
  <si>
    <t>tbl_registro_mayor_9</t>
  </si>
  <si>
    <t>Compra a credito 3</t>
  </si>
  <si>
    <t>tbl_registro_mayor_10</t>
  </si>
  <si>
    <t>tbl_registro_mayor_11</t>
  </si>
  <si>
    <t>A32</t>
  </si>
  <si>
    <t>A36</t>
  </si>
  <si>
    <t>A40</t>
  </si>
  <si>
    <t>A44</t>
  </si>
  <si>
    <t>Costo de Ventas 1</t>
  </si>
  <si>
    <t>Devolucion en venta de la factura 654 por 5 unidades</t>
  </si>
  <si>
    <t>tbl_registro_mayor_12</t>
  </si>
  <si>
    <t>Devolucion en venta FRA 654, 5 UNIDADES</t>
  </si>
  <si>
    <t>tbl_registro_mayor_13</t>
  </si>
  <si>
    <t>tbl_registro_mayor_14</t>
  </si>
  <si>
    <t>tbl_registro_mayor_15</t>
  </si>
  <si>
    <t>I125</t>
  </si>
  <si>
    <t>I129</t>
  </si>
  <si>
    <t>I133</t>
  </si>
  <si>
    <t>I137</t>
  </si>
  <si>
    <t>PEPS 2</t>
  </si>
  <si>
    <t>PEPS 3</t>
  </si>
  <si>
    <t>PEPS 4</t>
  </si>
  <si>
    <t>tbl_registro_mayor_16</t>
  </si>
  <si>
    <t>I162</t>
  </si>
  <si>
    <t>Venta 2</t>
  </si>
  <si>
    <t>Ubicación</t>
  </si>
  <si>
    <t>Carpeta</t>
  </si>
  <si>
    <t>Archivo</t>
  </si>
  <si>
    <t>Desktop</t>
  </si>
  <si>
    <t>extracto_bancolombia-2024-06-10-12-54-45.pdf</t>
  </si>
  <si>
    <t>Soportes contables</t>
  </si>
  <si>
    <t>ABONO INTERESES AHORROS</t>
  </si>
  <si>
    <t>TRANSFERENCIA CTA SUC VIRTUAL</t>
  </si>
  <si>
    <t>CUOTA MANEJO TARJETA DEBITO</t>
  </si>
  <si>
    <t>RETIRO CAJERO MALAGA</t>
  </si>
  <si>
    <t>COMISION RETIRO CAJERO</t>
  </si>
  <si>
    <t>Pago camara de comercio</t>
  </si>
  <si>
    <t>AJUSTE INTERES AHORROS DB</t>
  </si>
  <si>
    <t>Pago PSE Plasticos Everplas S.A.S</t>
  </si>
  <si>
    <t>Pago PSE colombia telecomunicaciones</t>
  </si>
  <si>
    <t>Transferencia Qr</t>
  </si>
  <si>
    <t>01/04/2024</t>
  </si>
  <si>
    <t>02/04/2024</t>
  </si>
  <si>
    <t>03/04/2024</t>
  </si>
  <si>
    <t>04/04/2024</t>
  </si>
  <si>
    <t>05/04/2024</t>
  </si>
  <si>
    <t>06/04/2024</t>
  </si>
  <si>
    <t>07/04/2024</t>
  </si>
  <si>
    <t>09/04/2024</t>
  </si>
  <si>
    <t>10/04/2024</t>
  </si>
  <si>
    <t>libro_auxiliar_bancos-2024-06-15-17-48-49.pdf</t>
  </si>
  <si>
    <t>$ 2,000,000.00</t>
  </si>
  <si>
    <t>$ -</t>
  </si>
  <si>
    <t>$ 430,000.00</t>
  </si>
  <si>
    <t>$ 50,530.00</t>
  </si>
  <si>
    <t>$ 5,283,000.00</t>
  </si>
  <si>
    <t>$ 3,500,000.00</t>
  </si>
  <si>
    <t>$ 1,600,000.00</t>
  </si>
  <si>
    <t>$ 5,483,250.00</t>
  </si>
  <si>
    <t>$ 360,000.00</t>
  </si>
  <si>
    <t>$ 1,780,000.00</t>
  </si>
  <si>
    <t>$ 238,000.00</t>
  </si>
  <si>
    <t>$ 7,000,000.00</t>
  </si>
  <si>
    <t>$ 750,000.00</t>
  </si>
  <si>
    <t>$ 980,000.00</t>
  </si>
  <si>
    <t>$ 45,900.00</t>
  </si>
  <si>
    <t>$ 400,000.00</t>
  </si>
  <si>
    <t>$ 170,000.00</t>
  </si>
  <si>
    <t>$ 1,965,000.00</t>
  </si>
  <si>
    <t>$ 250,000.00</t>
  </si>
  <si>
    <t>$ 4,500,000.00</t>
  </si>
  <si>
    <t>$ 2,300,000.00</t>
  </si>
  <si>
    <t>$ 3,800,000.00</t>
  </si>
  <si>
    <t>$ 270,000.00</t>
  </si>
  <si>
    <t>$ 100,000.00</t>
  </si>
  <si>
    <t>$ 1,300,000.00</t>
  </si>
  <si>
    <t>$ 1,200,000.00</t>
  </si>
  <si>
    <t>$ 30,000.00</t>
  </si>
  <si>
    <t>$ 450,000.00</t>
  </si>
  <si>
    <t xml:space="preserve"> </t>
  </si>
  <si>
    <t>Datos Proveedor</t>
  </si>
  <si>
    <t>Datos Comprador</t>
  </si>
  <si>
    <t>Correo:</t>
  </si>
  <si>
    <t>Correo</t>
  </si>
  <si>
    <t>sugarBubble@gmail.com</t>
  </si>
  <si>
    <t>Fecha Transaccion</t>
  </si>
  <si>
    <t>#Factura</t>
  </si>
  <si>
    <t xml:space="preserve">Descripcion </t>
  </si>
  <si>
    <t>Vr Total</t>
  </si>
  <si>
    <t>Descuento</t>
  </si>
  <si>
    <t>Total a pagar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</si>
</sst>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quot;$&quot;#,##0.00"/>
    <numFmt numFmtId="8" formatCode="&quot;$&quot;#,##0.00;[Red]\-&quot;$&quot;#,##0.00"/>
    <numFmt numFmtId="44" formatCode="_-&quot;$&quot;* #,##0.00_-;\-&quot;$&quot;* #,##0.00_-;_-&quot;$&quot;* &quot;-&quot;??_-;_-@_-"/>
    <numFmt numFmtId="164" formatCode="_-&quot;$&quot;\ * #,##0.00_-;\-&quot;$&quot;\ * #,##0.00_-;_-&quot;$&quot;\ * &quot;-&quot;??_-;_-@_-"/>
    <numFmt numFmtId="165" formatCode="&quot;$&quot;\ #,##0.00"/>
  </numFmts>
  <fonts count="12"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
      <sz val="11"/>
      <name val="Calibri"/>
      <family val="2"/>
      <scheme val="minor"/>
    </font>
    <font>
      <u/>
      <sz val="11"/>
      <color theme="10"/>
      <name val="Calibri"/>
      <family val="2"/>
      <scheme val="minor"/>
    </font>
    <font>
      <sz val="12"/>
      <color theme="1"/>
      <name val="Consolas"/>
      <family val="3"/>
    </font>
  </fonts>
  <fills count="15">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1" fillId="0" borderId="0"/>
    <xf numFmtId="0" fontId="10" fillId="0" borderId="0" applyNumberFormat="0" applyFill="0" applyBorder="0" applyAlignment="0" applyProtection="0"/>
  </cellStyleXfs>
  <cellXfs count="93">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3" borderId="0" xfId="0" applyNumberFormat="1" applyFill="1"/>
    <xf numFmtId="0" fontId="0" fillId="14" borderId="0" xfId="0" applyFill="1"/>
    <xf numFmtId="44" fontId="0" fillId="14"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9" fillId="0" borderId="0" xfId="0" applyFont="1" applyAlignment="1">
      <alignment horizontal="left" vertical="center"/>
    </xf>
    <xf numFmtId="8" fontId="0" fillId="0" borderId="0" xfId="0" applyNumberFormat="1"/>
    <xf numFmtId="0" fontId="3" fillId="5" borderId="4" xfId="0" applyFont="1" applyFill="1" applyBorder="1" applyAlignment="1">
      <alignment horizontal="center"/>
    </xf>
    <xf numFmtId="0" fontId="4"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3" fillId="4" borderId="0" xfId="0" applyFont="1" applyFill="1" applyAlignment="1">
      <alignment horizontal="center"/>
    </xf>
    <xf numFmtId="0" fontId="4" fillId="4" borderId="0" xfId="0" applyFont="1" applyFill="1" applyAlignment="1">
      <alignment horizontal="center"/>
    </xf>
    <xf numFmtId="44" fontId="4" fillId="0" borderId="4" xfId="0" applyNumberFormat="1" applyFont="1" applyBorder="1" applyAlignment="1">
      <alignment horizontal="center"/>
    </xf>
    <xf numFmtId="0" fontId="4" fillId="0" borderId="4"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3" fillId="7" borderId="4" xfId="0" applyFont="1" applyFill="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44" fontId="0" fillId="10" borderId="0" xfId="0" applyNumberFormat="1" applyFont="1" applyFill="1" applyBorder="1" applyAlignment="1">
      <alignment horizontal="center"/>
    </xf>
    <xf numFmtId="44" fontId="0" fillId="12" borderId="0" xfId="0" applyNumberFormat="1" applyFont="1" applyFill="1" applyBorder="1" applyAlignment="1">
      <alignment horizontal="center"/>
    </xf>
    <xf numFmtId="0" fontId="0" fillId="12" borderId="0" xfId="0" applyFill="1" applyAlignment="1">
      <alignment horizontal="center"/>
    </xf>
    <xf numFmtId="44" fontId="5" fillId="10" borderId="0" xfId="0" applyNumberFormat="1" applyFont="1" applyFill="1" applyBorder="1" applyAlignment="1">
      <alignment horizontal="center"/>
    </xf>
    <xf numFmtId="44" fontId="8" fillId="12" borderId="0" xfId="0" applyNumberFormat="1" applyFont="1" applyFill="1" applyBorder="1" applyAlignment="1">
      <alignment horizontal="center"/>
    </xf>
    <xf numFmtId="0" fontId="10" fillId="0" borderId="7" xfId="2" applyBorder="1" applyAlignment="1">
      <alignment horizontal="center"/>
    </xf>
    <xf numFmtId="0" fontId="11" fillId="5" borderId="4" xfId="0" applyFont="1" applyFill="1" applyBorder="1" applyAlignment="1">
      <alignment horizontal="center"/>
    </xf>
  </cellXfs>
  <cellStyles count="3">
    <cellStyle name="Hipervínculo" xfId="2" builtinId="8"/>
    <cellStyle name="Normal" xfId="0" builtinId="0"/>
    <cellStyle name="Normal_Hoja1" xfId="1" xr:uid="{D994A72B-16E2-4B3C-BA18-D4ECA9711272}"/>
  </cellStyles>
  <dxfs count="334">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hyperlink" Target="#'Consulta Extracto'!A1"/><Relationship Id="rId7" Type="http://schemas.openxmlformats.org/officeDocument/2006/relationships/hyperlink" Target="#'Consulta Libro Bancos'!A1"/><Relationship Id="rId2" Type="http://schemas.openxmlformats.org/officeDocument/2006/relationships/hyperlink" Target="#'Libro Auxiliar Bancos'!A1"/><Relationship Id="rId1" Type="http://schemas.openxmlformats.org/officeDocument/2006/relationships/image" Target="../media/image1.png"/><Relationship Id="rId6" Type="http://schemas.openxmlformats.org/officeDocument/2006/relationships/hyperlink" Target="#'Conciliacion Bancaria'!A1"/><Relationship Id="rId5" Type="http://schemas.openxmlformats.org/officeDocument/2006/relationships/hyperlink" Target="#hoja_trabajo_conciliacion_banca!A1"/><Relationship Id="rId4" Type="http://schemas.openxmlformats.org/officeDocument/2006/relationships/hyperlink" Target="#'Extracto Cta Bancolombia'!A1"/></Relationships>
</file>

<file path=xl/drawings/_rels/drawing8.xml.rels><?xml version="1.0" encoding="UTF-8" standalone="yes"?>
<Relationships xmlns="http://schemas.openxmlformats.org/package/2006/relationships"><Relationship Id="rId1" Type="http://schemas.openxmlformats.org/officeDocument/2006/relationships/hyperlink" Target="#Portada!A1"/></Relationships>
</file>

<file path=xl/drawings/_rels/drawing9.xml.rels><?xml version="1.0" encoding="UTF-8" standalone="yes"?>
<Relationships xmlns="http://schemas.openxmlformats.org/package/2006/relationships"><Relationship Id="rId1" Type="http://schemas.openxmlformats.org/officeDocument/2006/relationships/hyperlink" Target="#Portada!A1"/></Relationships>
</file>

<file path=xl/drawings/_rels/drawing10.xml.rels><?xml version="1.0" encoding="UTF-8" standalone="yes"?>
<Relationships xmlns="http://schemas.openxmlformats.org/package/2006/relationships"><Relationship Id="rId1" Type="http://schemas.openxmlformats.org/officeDocument/2006/relationships/hyperlink" Target="#Portada!A1"/></Relationships>
</file>

<file path=xl/drawings/_rels/drawing11.xml.rels><?xml version="1.0" encoding="UTF-8" standalone="yes"?>
<Relationships xmlns="http://schemas.openxmlformats.org/package/2006/relationships"><Relationship Id="rId2" Type="http://schemas.openxmlformats.org/officeDocument/2006/relationships/hyperlink" Target="#Portada!A1"/><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hyperlink" Target="#Portada!A1"/></Relationships>
</file>

<file path=xl/drawings/_rels/drawing13.xml.rels><?xml version="1.0" encoding="UTF-8" standalone="yes"?>
<Relationships xmlns="http://schemas.openxmlformats.org/package/2006/relationships"><Relationship Id="rId1" Type="http://schemas.openxmlformats.org/officeDocument/2006/relationships/hyperlink" Target="#Portada!A1"/></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27</xdr:row>
      <xdr:rowOff>171450</xdr:rowOff>
    </xdr:from>
    <xdr:to>
      <xdr:col>10</xdr:col>
      <xdr:colOff>295275</xdr:colOff>
      <xdr:row>31</xdr:row>
      <xdr:rowOff>0</xdr:rowOff>
    </xdr:to>
    <xdr:sp macro="" textlink="">
      <xdr:nvSpPr>
        <xdr:cNvPr id="7" name="Rectángulo 6">
          <a:extLst>
            <a:ext uri="{FF2B5EF4-FFF2-40B4-BE49-F238E27FC236}">
              <a16:creationId xmlns:a16="http://schemas.microsoft.com/office/drawing/2014/main" id="{90072869-AF90-4059-A449-7D9A4CC8A44D}"/>
            </a:ext>
          </a:extLst>
        </xdr:cNvPr>
        <xdr:cNvSpPr/>
      </xdr:nvSpPr>
      <xdr:spPr>
        <a:xfrm>
          <a:off x="2438400" y="5314950"/>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176210</xdr:colOff>
      <xdr:row>31</xdr:row>
      <xdr:rowOff>33341</xdr:rowOff>
    </xdr:from>
    <xdr:to>
      <xdr:col>9</xdr:col>
      <xdr:colOff>761997</xdr:colOff>
      <xdr:row>58</xdr:row>
      <xdr:rowOff>66675</xdr:rowOff>
    </xdr:to>
    <xdr:sp macro="" textlink="">
      <xdr:nvSpPr>
        <xdr:cNvPr id="9" name="Flecha: doblada hacia arriba 8">
          <a:extLst>
            <a:ext uri="{FF2B5EF4-FFF2-40B4-BE49-F238E27FC236}">
              <a16:creationId xmlns:a16="http://schemas.microsoft.com/office/drawing/2014/main" id="{851BF846-052A-48CD-BD6C-75756C30E4B5}"/>
            </a:ext>
          </a:extLst>
        </xdr:cNvPr>
        <xdr:cNvSpPr/>
      </xdr:nvSpPr>
      <xdr:spPr>
        <a:xfrm rot="5400000">
          <a:off x="2452687" y="5948364"/>
          <a:ext cx="5176834" cy="5157787"/>
        </a:xfrm>
        <a:prstGeom prst="bentUpArrow">
          <a:avLst>
            <a:gd name="adj1" fmla="val 4646"/>
            <a:gd name="adj2" fmla="val 6048"/>
            <a:gd name="adj3" fmla="val 50000"/>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xdr:col>
      <xdr:colOff>504826</xdr:colOff>
      <xdr:row>36</xdr:row>
      <xdr:rowOff>180975</xdr:rowOff>
    </xdr:from>
    <xdr:to>
      <xdr:col>9</xdr:col>
      <xdr:colOff>390526</xdr:colOff>
      <xdr:row>40</xdr:row>
      <xdr:rowOff>9525</xdr:rowOff>
    </xdr:to>
    <xdr:sp macro="" textlink="">
      <xdr:nvSpPr>
        <xdr:cNvPr id="10" name="Rectángulo 9">
          <a:hlinkClick xmlns:r="http://schemas.openxmlformats.org/officeDocument/2006/relationships" r:id="rId2"/>
          <a:extLst>
            <a:ext uri="{FF2B5EF4-FFF2-40B4-BE49-F238E27FC236}">
              <a16:creationId xmlns:a16="http://schemas.microsoft.com/office/drawing/2014/main" id="{56765B96-E758-410C-96CF-A94A5A48BE91}"/>
            </a:ext>
          </a:extLst>
        </xdr:cNvPr>
        <xdr:cNvSpPr/>
      </xdr:nvSpPr>
      <xdr:spPr>
        <a:xfrm>
          <a:off x="2790826" y="7038975"/>
          <a:ext cx="4457700" cy="5905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Libro</a:t>
          </a:r>
          <a:r>
            <a:rPr lang="es-CO" sz="2800" b="1" baseline="0">
              <a:solidFill>
                <a:schemeClr val="tx1">
                  <a:lumMod val="85000"/>
                  <a:lumOff val="15000"/>
                </a:schemeClr>
              </a:solidFill>
              <a:latin typeface="Consolas" panose="020B0609020204030204" pitchFamily="49" charset="0"/>
            </a:rPr>
            <a:t> auxiliar Bancos</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504827</xdr:colOff>
      <xdr:row>40</xdr:row>
      <xdr:rowOff>95250</xdr:rowOff>
    </xdr:from>
    <xdr:to>
      <xdr:col>8</xdr:col>
      <xdr:colOff>476251</xdr:colOff>
      <xdr:row>43</xdr:row>
      <xdr:rowOff>19050</xdr:rowOff>
    </xdr:to>
    <xdr:sp macro="" textlink="">
      <xdr:nvSpPr>
        <xdr:cNvPr id="11" name="Rectángulo 10">
          <a:hlinkClick xmlns:r="http://schemas.openxmlformats.org/officeDocument/2006/relationships" r:id="rId3"/>
          <a:extLst>
            <a:ext uri="{FF2B5EF4-FFF2-40B4-BE49-F238E27FC236}">
              <a16:creationId xmlns:a16="http://schemas.microsoft.com/office/drawing/2014/main" id="{92E9DFA7-4E3E-4F9C-94FD-22E7AD0E7625}"/>
            </a:ext>
          </a:extLst>
        </xdr:cNvPr>
        <xdr:cNvSpPr/>
      </xdr:nvSpPr>
      <xdr:spPr>
        <a:xfrm>
          <a:off x="2790827" y="7715250"/>
          <a:ext cx="3781424" cy="4953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Consulta</a:t>
          </a:r>
          <a:r>
            <a:rPr lang="es-CO" sz="2800" b="1" baseline="0">
              <a:solidFill>
                <a:schemeClr val="tx1">
                  <a:lumMod val="85000"/>
                  <a:lumOff val="15000"/>
                </a:schemeClr>
              </a:solidFill>
              <a:latin typeface="Consolas" panose="020B0609020204030204" pitchFamily="49" charset="0"/>
            </a:rPr>
            <a:t> Extracto</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504827</xdr:colOff>
      <xdr:row>43</xdr:row>
      <xdr:rowOff>76200</xdr:rowOff>
    </xdr:from>
    <xdr:to>
      <xdr:col>10</xdr:col>
      <xdr:colOff>66675</xdr:colOff>
      <xdr:row>46</xdr:row>
      <xdr:rowOff>0</xdr:rowOff>
    </xdr:to>
    <xdr:sp macro="" textlink="">
      <xdr:nvSpPr>
        <xdr:cNvPr id="12" name="Rectángulo 11">
          <a:hlinkClick xmlns:r="http://schemas.openxmlformats.org/officeDocument/2006/relationships" r:id="rId4"/>
          <a:extLst>
            <a:ext uri="{FF2B5EF4-FFF2-40B4-BE49-F238E27FC236}">
              <a16:creationId xmlns:a16="http://schemas.microsoft.com/office/drawing/2014/main" id="{1814281D-5B91-4746-9172-04F139C4EB42}"/>
            </a:ext>
          </a:extLst>
        </xdr:cNvPr>
        <xdr:cNvSpPr/>
      </xdr:nvSpPr>
      <xdr:spPr>
        <a:xfrm>
          <a:off x="2790827" y="8267700"/>
          <a:ext cx="4895848" cy="4953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Extracto</a:t>
          </a:r>
          <a:r>
            <a:rPr lang="es-CO" sz="2800" b="1" baseline="0">
              <a:solidFill>
                <a:schemeClr val="tx1">
                  <a:lumMod val="85000"/>
                  <a:lumOff val="15000"/>
                </a:schemeClr>
              </a:solidFill>
              <a:latin typeface="Consolas" panose="020B0609020204030204" pitchFamily="49" charset="0"/>
            </a:rPr>
            <a:t> Cta Bancolombia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495302</xdr:colOff>
      <xdr:row>46</xdr:row>
      <xdr:rowOff>66674</xdr:rowOff>
    </xdr:from>
    <xdr:to>
      <xdr:col>10</xdr:col>
      <xdr:colOff>57150</xdr:colOff>
      <xdr:row>51</xdr:row>
      <xdr:rowOff>95250</xdr:rowOff>
    </xdr:to>
    <xdr:sp macro="" textlink="">
      <xdr:nvSpPr>
        <xdr:cNvPr id="13" name="Rectángulo 12">
          <a:hlinkClick xmlns:r="http://schemas.openxmlformats.org/officeDocument/2006/relationships" r:id="rId5"/>
          <a:extLst>
            <a:ext uri="{FF2B5EF4-FFF2-40B4-BE49-F238E27FC236}">
              <a16:creationId xmlns:a16="http://schemas.microsoft.com/office/drawing/2014/main" id="{4C238C44-3767-449D-9036-D52B6C51EBE3}"/>
            </a:ext>
          </a:extLst>
        </xdr:cNvPr>
        <xdr:cNvSpPr/>
      </xdr:nvSpPr>
      <xdr:spPr>
        <a:xfrm>
          <a:off x="2781302" y="8829674"/>
          <a:ext cx="4895848" cy="981076"/>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Hoja</a:t>
          </a:r>
          <a:r>
            <a:rPr lang="es-CO" sz="2800" b="1" baseline="0">
              <a:solidFill>
                <a:schemeClr val="tx1">
                  <a:lumMod val="85000"/>
                  <a:lumOff val="15000"/>
                </a:schemeClr>
              </a:solidFill>
              <a:latin typeface="Consolas" panose="020B0609020204030204" pitchFamily="49" charset="0"/>
            </a:rPr>
            <a:t> trabajo conciliacion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495302</xdr:colOff>
      <xdr:row>52</xdr:row>
      <xdr:rowOff>9524</xdr:rowOff>
    </xdr:from>
    <xdr:to>
      <xdr:col>10</xdr:col>
      <xdr:colOff>57150</xdr:colOff>
      <xdr:row>54</xdr:row>
      <xdr:rowOff>123824</xdr:rowOff>
    </xdr:to>
    <xdr:sp macro="" textlink="">
      <xdr:nvSpPr>
        <xdr:cNvPr id="14" name="Rectángulo 13">
          <a:hlinkClick xmlns:r="http://schemas.openxmlformats.org/officeDocument/2006/relationships" r:id="rId6"/>
          <a:extLst>
            <a:ext uri="{FF2B5EF4-FFF2-40B4-BE49-F238E27FC236}">
              <a16:creationId xmlns:a16="http://schemas.microsoft.com/office/drawing/2014/main" id="{F78C2CA9-F242-4677-B1FE-E3758EC13A24}"/>
            </a:ext>
          </a:extLst>
        </xdr:cNvPr>
        <xdr:cNvSpPr/>
      </xdr:nvSpPr>
      <xdr:spPr>
        <a:xfrm>
          <a:off x="2781302" y="9915524"/>
          <a:ext cx="4895848" cy="4953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504825</xdr:colOff>
      <xdr:row>33</xdr:row>
      <xdr:rowOff>85725</xdr:rowOff>
    </xdr:from>
    <xdr:to>
      <xdr:col>10</xdr:col>
      <xdr:colOff>123824</xdr:colOff>
      <xdr:row>36</xdr:row>
      <xdr:rowOff>104775</xdr:rowOff>
    </xdr:to>
    <xdr:sp macro="" textlink="">
      <xdr:nvSpPr>
        <xdr:cNvPr id="15" name="Rectángulo 14">
          <a:hlinkClick xmlns:r="http://schemas.openxmlformats.org/officeDocument/2006/relationships" r:id="rId7"/>
          <a:extLst>
            <a:ext uri="{FF2B5EF4-FFF2-40B4-BE49-F238E27FC236}">
              <a16:creationId xmlns:a16="http://schemas.microsoft.com/office/drawing/2014/main" id="{195833AB-E472-47E9-B224-57AECABA9E18}"/>
            </a:ext>
          </a:extLst>
        </xdr:cNvPr>
        <xdr:cNvSpPr/>
      </xdr:nvSpPr>
      <xdr:spPr>
        <a:xfrm>
          <a:off x="2790825" y="6372225"/>
          <a:ext cx="4952999" cy="59055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1">
              <a:solidFill>
                <a:schemeClr val="tx1">
                  <a:lumMod val="85000"/>
                  <a:lumOff val="15000"/>
                </a:schemeClr>
              </a:solidFill>
              <a:latin typeface="Consolas" panose="020B0609020204030204" pitchFamily="49" charset="0"/>
            </a:rPr>
            <a:t>Consulta</a:t>
          </a:r>
          <a:r>
            <a:rPr lang="es-CO" sz="2000" b="1" baseline="0">
              <a:solidFill>
                <a:schemeClr val="tx1">
                  <a:lumMod val="85000"/>
                  <a:lumOff val="15000"/>
                </a:schemeClr>
              </a:solidFill>
              <a:latin typeface="Consolas" panose="020B0609020204030204" pitchFamily="49" charset="0"/>
            </a:rPr>
            <a:t> Libro Auxiliar Bancos</a:t>
          </a:r>
          <a:endParaRPr lang="es-CO" sz="20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657225</xdr:colOff>
      <xdr:row>11</xdr:row>
      <xdr:rowOff>95250</xdr:rowOff>
    </xdr:from>
    <xdr:to>
      <xdr:col>12</xdr:col>
      <xdr:colOff>161925</xdr:colOff>
      <xdr:row>13</xdr:row>
      <xdr:rowOff>133350</xdr:rowOff>
    </xdr:to>
    <xdr:sp macro="" textlink="">
      <xdr:nvSpPr>
        <xdr:cNvPr id="4" name="Rectángulo: esquinas redondeadas 3">
          <a:extLst>
            <a:ext uri="{FF2B5EF4-FFF2-40B4-BE49-F238E27FC236}">
              <a16:creationId xmlns:a16="http://schemas.microsoft.com/office/drawing/2014/main" id="{6B5F6DEF-D458-4CE8-BED6-4D5DF4E7CA4C}"/>
            </a:ext>
          </a:extLst>
        </xdr:cNvPr>
        <xdr:cNvSpPr/>
      </xdr:nvSpPr>
      <xdr:spPr>
        <a:xfrm>
          <a:off x="9801225" y="3324225"/>
          <a:ext cx="1790700" cy="4191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Acceder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xdr:colOff>
      <xdr:row>0</xdr:row>
      <xdr:rowOff>19050</xdr:rowOff>
    </xdr:from>
    <xdr:to>
      <xdr:col>8</xdr:col>
      <xdr:colOff>981075</xdr:colOff>
      <xdr:row>1</xdr:row>
      <xdr:rowOff>66675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6305550" y="1905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8</xdr:col>
      <xdr:colOff>1066800</xdr:colOff>
      <xdr:row>0</xdr:row>
      <xdr:rowOff>28575</xdr:rowOff>
    </xdr:from>
    <xdr:to>
      <xdr:col>8</xdr:col>
      <xdr:colOff>1352550</xdr:colOff>
      <xdr:row>1</xdr:row>
      <xdr:rowOff>57150</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7353300" y="28575"/>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704850</xdr:colOff>
      <xdr:row>15</xdr:row>
      <xdr:rowOff>185737</xdr:rowOff>
    </xdr:from>
    <xdr:to>
      <xdr:col>10</xdr:col>
      <xdr:colOff>202406</xdr:colOff>
      <xdr:row>17</xdr:row>
      <xdr:rowOff>157162</xdr:rowOff>
    </xdr:to>
    <xdr:sp macro="[0]!consulta_libro_bancos_pdf" textlink="">
      <xdr:nvSpPr>
        <xdr:cNvPr id="2" name="Rectángulo: esquinas redondeadas 1">
          <a:extLst>
            <a:ext uri="{FF2B5EF4-FFF2-40B4-BE49-F238E27FC236}">
              <a16:creationId xmlns:a16="http://schemas.microsoft.com/office/drawing/2014/main" id="{4CE1A4DD-E9D1-4610-BAF3-E758673319EC}"/>
            </a:ext>
          </a:extLst>
        </xdr:cNvPr>
        <xdr:cNvSpPr/>
      </xdr:nvSpPr>
      <xdr:spPr>
        <a:xfrm>
          <a:off x="8979694" y="3043237"/>
          <a:ext cx="1057275" cy="352425"/>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Obtener Libro </a:t>
          </a:r>
        </a:p>
      </xdr:txBody>
    </xdr:sp>
    <xdr:clientData/>
  </xdr:twoCellAnchor>
  <xdr:twoCellAnchor>
    <xdr:from>
      <xdr:col>7</xdr:col>
      <xdr:colOff>0</xdr:colOff>
      <xdr:row>6</xdr:row>
      <xdr:rowOff>9525</xdr:rowOff>
    </xdr:from>
    <xdr:to>
      <xdr:col>17</xdr:col>
      <xdr:colOff>133350</xdr:colOff>
      <xdr:row>14</xdr:row>
      <xdr:rowOff>123825</xdr:rowOff>
    </xdr:to>
    <xdr:sp macro="" textlink="">
      <xdr:nvSpPr>
        <xdr:cNvPr id="3" name="Rectángulo: esquinas redondeadas 2">
          <a:extLst>
            <a:ext uri="{FF2B5EF4-FFF2-40B4-BE49-F238E27FC236}">
              <a16:creationId xmlns:a16="http://schemas.microsoft.com/office/drawing/2014/main" id="{C6CFFD49-C6F6-4B3C-8243-BFB2E066B38A}"/>
            </a:ext>
          </a:extLst>
        </xdr:cNvPr>
        <xdr:cNvSpPr/>
      </xdr:nvSpPr>
      <xdr:spPr>
        <a:xfrm>
          <a:off x="7505700" y="1152525"/>
          <a:ext cx="10363200" cy="163830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p>
        <a:p>
          <a:pPr algn="l"/>
          <a:endParaRPr lang="es-CO" sz="1400">
            <a:solidFill>
              <a:srgbClr val="7030A0"/>
            </a:solidFill>
          </a:endParaRPr>
        </a:p>
      </xdr:txBody>
    </xdr:sp>
    <xdr:clientData/>
  </xdr:twoCellAnchor>
  <xdr:twoCellAnchor>
    <xdr:from>
      <xdr:col>7</xdr:col>
      <xdr:colOff>0</xdr:colOff>
      <xdr:row>1</xdr:row>
      <xdr:rowOff>0</xdr:rowOff>
    </xdr:from>
    <xdr:to>
      <xdr:col>8</xdr:col>
      <xdr:colOff>297996</xdr:colOff>
      <xdr:row>3</xdr:row>
      <xdr:rowOff>25854</xdr:rowOff>
    </xdr:to>
    <xdr:sp macro="" textlink="">
      <xdr:nvSpPr>
        <xdr:cNvPr id="4" name="Rectángulo: esquinas redondeadas 3">
          <a:hlinkClick xmlns:r="http://schemas.openxmlformats.org/officeDocument/2006/relationships" r:id="rId1"/>
          <a:extLst>
            <a:ext uri="{FF2B5EF4-FFF2-40B4-BE49-F238E27FC236}">
              <a16:creationId xmlns:a16="http://schemas.microsoft.com/office/drawing/2014/main" id="{CA57B004-CF1C-4DBB-8EB9-8A619F4C5320}"/>
            </a:ext>
          </a:extLst>
        </xdr:cNvPr>
        <xdr:cNvSpPr/>
      </xdr:nvSpPr>
      <xdr:spPr>
        <a:xfrm>
          <a:off x="7505700" y="190500"/>
          <a:ext cx="1059996" cy="406854"/>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twoCellAnchor>
    <xdr:from>
      <xdr:col>6</xdr:col>
      <xdr:colOff>369094</xdr:colOff>
      <xdr:row>18</xdr:row>
      <xdr:rowOff>130969</xdr:rowOff>
    </xdr:from>
    <xdr:to>
      <xdr:col>12</xdr:col>
      <xdr:colOff>0</xdr:colOff>
      <xdr:row>28</xdr:row>
      <xdr:rowOff>119062</xdr:rowOff>
    </xdr:to>
    <xdr:sp macro="" textlink="">
      <xdr:nvSpPr>
        <xdr:cNvPr id="5" name="Globo: flecha hacia arriba 4">
          <a:extLst>
            <a:ext uri="{FF2B5EF4-FFF2-40B4-BE49-F238E27FC236}">
              <a16:creationId xmlns:a16="http://schemas.microsoft.com/office/drawing/2014/main" id="{FC5233E9-03D9-42C0-A0EE-67EBB6411C96}"/>
            </a:ext>
          </a:extLst>
        </xdr:cNvPr>
        <xdr:cNvSpPr/>
      </xdr:nvSpPr>
      <xdr:spPr>
        <a:xfrm>
          <a:off x="7119938" y="3559969"/>
          <a:ext cx="4762500" cy="1893093"/>
        </a:xfrm>
        <a:prstGeom prst="upArrowCallout">
          <a:avLst>
            <a:gd name="adj1" fmla="val 18548"/>
            <a:gd name="adj2" fmla="val 18788"/>
            <a:gd name="adj3" fmla="val 21000"/>
            <a:gd name="adj4" fmla="val 57880"/>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Al</a:t>
          </a:r>
          <a:r>
            <a:rPr lang="es-CO" sz="1100" baseline="0">
              <a:solidFill>
                <a:srgbClr val="7030A0"/>
              </a:solidFill>
            </a:rPr>
            <a:t> oprimir este boton se borra la consulta actual y segun la informacion de la tabla se obtiene una nueva consulta desde el archivo que esta guardado en la carpeta Soprtes contables que esta en el escritorio del PC.</a:t>
          </a:r>
          <a:endParaRPr lang="es-CO" sz="1100">
            <a:solidFill>
              <a:srgbClr val="7030A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32658</xdr:colOff>
      <xdr:row>8</xdr:row>
      <xdr:rowOff>72117</xdr:rowOff>
    </xdr:from>
    <xdr:to>
      <xdr:col>10</xdr:col>
      <xdr:colOff>356508</xdr:colOff>
      <xdr:row>9</xdr:row>
      <xdr:rowOff>72117</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2687301" y="215401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10</xdr:col>
      <xdr:colOff>28574</xdr:colOff>
      <xdr:row>9</xdr:row>
      <xdr:rowOff>136070</xdr:rowOff>
    </xdr:from>
    <xdr:to>
      <xdr:col>10</xdr:col>
      <xdr:colOff>352424</xdr:colOff>
      <xdr:row>10</xdr:row>
      <xdr:rowOff>136070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2683217" y="2408463"/>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10</xdr:col>
      <xdr:colOff>29936</xdr:colOff>
      <xdr:row>38</xdr:row>
      <xdr:rowOff>92529</xdr:rowOff>
    </xdr:from>
    <xdr:to>
      <xdr:col>11</xdr:col>
      <xdr:colOff>221797</xdr:colOff>
      <xdr:row>39</xdr:row>
      <xdr:rowOff>130628</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2466865" y="7889422"/>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10</xdr:col>
      <xdr:colOff>20410</xdr:colOff>
      <xdr:row>17</xdr:row>
      <xdr:rowOff>137433</xdr:rowOff>
    </xdr:from>
    <xdr:to>
      <xdr:col>11</xdr:col>
      <xdr:colOff>240847</xdr:colOff>
      <xdr:row>18</xdr:row>
      <xdr:rowOff>166009</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2675053" y="3933826"/>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0</xdr:col>
      <xdr:colOff>114300</xdr:colOff>
      <xdr:row>0</xdr:row>
      <xdr:rowOff>95251</xdr:rowOff>
    </xdr:from>
    <xdr:to>
      <xdr:col>1</xdr:col>
      <xdr:colOff>371475</xdr:colOff>
      <xdr:row>1</xdr:row>
      <xdr:rowOff>161926</xdr:rowOff>
    </xdr:to>
    <xdr:sp macro="" textlink="">
      <xdr:nvSpPr>
        <xdr:cNvPr id="6" name="Rectángulo: esquinas redondeadas 5">
          <a:hlinkClick xmlns:r="http://schemas.openxmlformats.org/officeDocument/2006/relationships" r:id="rId1"/>
          <a:extLst>
            <a:ext uri="{FF2B5EF4-FFF2-40B4-BE49-F238E27FC236}">
              <a16:creationId xmlns:a16="http://schemas.microsoft.com/office/drawing/2014/main" id="{4350CEBD-E987-456E-80E9-9F333089F556}"/>
            </a:ext>
          </a:extLst>
        </xdr:cNvPr>
        <xdr:cNvSpPr/>
      </xdr:nvSpPr>
      <xdr:spPr>
        <a:xfrm>
          <a:off x="114300" y="95251"/>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twoCellAnchor>
    <xdr:from>
      <xdr:col>10</xdr:col>
      <xdr:colOff>517070</xdr:colOff>
      <xdr:row>4</xdr:row>
      <xdr:rowOff>136070</xdr:rowOff>
    </xdr:from>
    <xdr:to>
      <xdr:col>19</xdr:col>
      <xdr:colOff>455916</xdr:colOff>
      <xdr:row>15</xdr:row>
      <xdr:rowOff>82173</xdr:rowOff>
    </xdr:to>
    <xdr:sp macro="" textlink="">
      <xdr:nvSpPr>
        <xdr:cNvPr id="7" name="Flecha: hacia la izquierda 6">
          <a:extLst>
            <a:ext uri="{FF2B5EF4-FFF2-40B4-BE49-F238E27FC236}">
              <a16:creationId xmlns:a16="http://schemas.microsoft.com/office/drawing/2014/main" id="{5A70551C-1749-434C-B9E8-DA2E551ACFC1}"/>
            </a:ext>
          </a:extLst>
        </xdr:cNvPr>
        <xdr:cNvSpPr/>
      </xdr:nvSpPr>
      <xdr:spPr>
        <a:xfrm>
          <a:off x="13171713" y="1251856"/>
          <a:ext cx="6824060" cy="2245710"/>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t>
          </a:r>
          <a:r>
            <a:rPr lang="es-CO" sz="1100">
              <a:solidFill>
                <a:srgbClr val="7030A0"/>
              </a:solidFill>
            </a:rPr>
            <a:t>Estamos en la hoja "Libro</a:t>
          </a:r>
          <a:r>
            <a:rPr lang="es-CO" sz="1100" baseline="0">
              <a:solidFill>
                <a:srgbClr val="7030A0"/>
              </a:solidFill>
            </a:rPr>
            <a:t> Auxiliar Bancos", y en esta hoja solo tenemos esta tabla llamada "tbl_libro_auxiliar_bancos", en esta tabla manejamos  un formato de libro auxiliar de bancos, que se usa como ejemplo de un libro obtenido del estudio dellibro mayor,solo buscando las cuentas que involucran bancos (solo es un ejemplo).</a:t>
          </a:r>
        </a:p>
        <a:p>
          <a:pPr algn="l"/>
          <a:r>
            <a:rPr lang="es-CO" sz="1100" baseline="0">
              <a:solidFill>
                <a:srgbClr val="7030A0"/>
              </a:solidFill>
            </a:rPr>
            <a:t>&gt; Los botones "+" y "-" son los encargados de agregar o quitar filas a la parte inferior de la tabla, sobre la columna totales, si elimina filas, seborra la informacion que habia en ellas de forma permanente.</a:t>
          </a:r>
        </a:p>
      </xdr:txBody>
    </xdr:sp>
    <xdr:clientData/>
  </xdr:twoCellAnchor>
  <xdr:twoCellAnchor>
    <xdr:from>
      <xdr:col>11</xdr:col>
      <xdr:colOff>408215</xdr:colOff>
      <xdr:row>14</xdr:row>
      <xdr:rowOff>136072</xdr:rowOff>
    </xdr:from>
    <xdr:to>
      <xdr:col>20</xdr:col>
      <xdr:colOff>374275</xdr:colOff>
      <xdr:row>22</xdr:row>
      <xdr:rowOff>82208</xdr:rowOff>
    </xdr:to>
    <xdr:sp macro="" textlink="">
      <xdr:nvSpPr>
        <xdr:cNvPr id="8" name="Flecha: hacia la izquierda 7">
          <a:extLst>
            <a:ext uri="{FF2B5EF4-FFF2-40B4-BE49-F238E27FC236}">
              <a16:creationId xmlns:a16="http://schemas.microsoft.com/office/drawing/2014/main" id="{5CA4D3DC-349F-4EE1-9F75-F71323DE1634}"/>
            </a:ext>
          </a:extLst>
        </xdr:cNvPr>
        <xdr:cNvSpPr/>
      </xdr:nvSpPr>
      <xdr:spPr>
        <a:xfrm>
          <a:off x="13852072" y="3360965"/>
          <a:ext cx="6824060"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limpiar la tabla de forma automatica, siempre puede quedar la primera fila sin limpiar, pero esto se puede hacer de forma manual, una ves corregido este error se quitara este mensaje, pero es util si se deben limpiar miles de filas de forma rapida. </a:t>
          </a:r>
        </a:p>
      </xdr:txBody>
    </xdr:sp>
    <xdr:clientData/>
  </xdr:twoCellAnchor>
  <xdr:twoCellAnchor>
    <xdr:from>
      <xdr:col>11</xdr:col>
      <xdr:colOff>312964</xdr:colOff>
      <xdr:row>30</xdr:row>
      <xdr:rowOff>81643</xdr:rowOff>
    </xdr:from>
    <xdr:to>
      <xdr:col>20</xdr:col>
      <xdr:colOff>279024</xdr:colOff>
      <xdr:row>47</xdr:row>
      <xdr:rowOff>131568</xdr:rowOff>
    </xdr:to>
    <xdr:sp macro="" textlink="">
      <xdr:nvSpPr>
        <xdr:cNvPr id="9" name="Flecha: hacia la izquierda 8">
          <a:extLst>
            <a:ext uri="{FF2B5EF4-FFF2-40B4-BE49-F238E27FC236}">
              <a16:creationId xmlns:a16="http://schemas.microsoft.com/office/drawing/2014/main" id="{3BDEA88A-8FFA-4DA6-BB06-D838DC13CDCA}"/>
            </a:ext>
          </a:extLst>
        </xdr:cNvPr>
        <xdr:cNvSpPr/>
      </xdr:nvSpPr>
      <xdr:spPr>
        <a:xfrm>
          <a:off x="13539107" y="6354536"/>
          <a:ext cx="6824060" cy="328842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guardar una copia en PDF en una carpeta predeterminada en el escritorio de su PC llamada "Soportes Contables", dicha copia del archivo es el que se debe usar para crear la consulta, es muy importante que sea este PDF, por la configuracion interna. </a:t>
          </a:r>
        </a:p>
        <a:p>
          <a:pPr algn="l"/>
          <a:r>
            <a:rPr lang="es-CO" sz="1100" baseline="0">
              <a:solidFill>
                <a:srgbClr val="7030A0"/>
              </a:solidFill>
            </a:rPr>
            <a:t>Entramos a la carpeta "Soportes contables" y copiamos todo el nombre del archivo, incluyendo la extencion .pdf.</a:t>
          </a:r>
        </a:p>
        <a:p>
          <a:pPr algn="l"/>
          <a:r>
            <a:rPr lang="es-CO" sz="1100" baseline="0">
              <a:solidFill>
                <a:srgbClr val="7030A0"/>
              </a:solidFill>
            </a:rPr>
            <a:t>Por el momento no se tiene consulta para esta tabla </a:t>
          </a:r>
        </a:p>
      </xdr:txBody>
    </xdr:sp>
    <xdr:clientData/>
  </xdr:twoCellAnchor>
  <xdr:twoCellAnchor>
    <xdr:from>
      <xdr:col>9</xdr:col>
      <xdr:colOff>0</xdr:colOff>
      <xdr:row>0</xdr:row>
      <xdr:rowOff>0</xdr:rowOff>
    </xdr:from>
    <xdr:to>
      <xdr:col>22</xdr:col>
      <xdr:colOff>253093</xdr:colOff>
      <xdr:row>6</xdr:row>
      <xdr:rowOff>5443</xdr:rowOff>
    </xdr:to>
    <xdr:sp macro="" textlink="">
      <xdr:nvSpPr>
        <xdr:cNvPr id="11" name="Rectángulo: esquinas redondeadas 10">
          <a:extLst>
            <a:ext uri="{FF2B5EF4-FFF2-40B4-BE49-F238E27FC236}">
              <a16:creationId xmlns:a16="http://schemas.microsoft.com/office/drawing/2014/main" id="{080AB270-37CA-4A4D-8BFC-47A46290F13C}"/>
            </a:ext>
          </a:extLst>
        </xdr:cNvPr>
        <xdr:cNvSpPr/>
      </xdr:nvSpPr>
      <xdr:spPr>
        <a:xfrm>
          <a:off x="11498036" y="0"/>
          <a:ext cx="10363200" cy="163830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p>
        <a:p>
          <a:pPr algn="l"/>
          <a:r>
            <a:rPr lang="es-CO" sz="1400" baseline="0">
              <a:solidFill>
                <a:srgbClr val="7030A0"/>
              </a:solidFill>
            </a:rPr>
            <a:t>Para trabajar en esta hoja debe eliminar las celdas de la hoja de trabajo de forma manual, una ves tengamos la macro para borra las filas automaticamente, la implementaremos y este mensaje sera eliminado</a:t>
          </a:r>
        </a:p>
        <a:p>
          <a:pPr algn="l"/>
          <a:endParaRPr lang="es-CO" sz="1400">
            <a:solidFill>
              <a:srgbClr val="7030A0"/>
            </a:solidFill>
          </a:endParaRPr>
        </a:p>
      </xdr:txBody>
    </xdr:sp>
    <xdr:clientData/>
  </xdr:twoCellAnchor>
  <xdr:twoCellAnchor>
    <xdr:from>
      <xdr:col>10</xdr:col>
      <xdr:colOff>40821</xdr:colOff>
      <xdr:row>25</xdr:row>
      <xdr:rowOff>176892</xdr:rowOff>
    </xdr:from>
    <xdr:to>
      <xdr:col>13</xdr:col>
      <xdr:colOff>353787</xdr:colOff>
      <xdr:row>29</xdr:row>
      <xdr:rowOff>27214</xdr:rowOff>
    </xdr:to>
    <xdr:sp macro="[0]!pasar_datos_entre_tablas_libro_bancos" textlink="">
      <xdr:nvSpPr>
        <xdr:cNvPr id="12" name="Rectángulo: esquinas redondeadas 11">
          <a:extLst>
            <a:ext uri="{FF2B5EF4-FFF2-40B4-BE49-F238E27FC236}">
              <a16:creationId xmlns:a16="http://schemas.microsoft.com/office/drawing/2014/main" id="{33802506-7C69-4AE3-AD8E-9A44FDF2E260}"/>
            </a:ext>
          </a:extLst>
        </xdr:cNvPr>
        <xdr:cNvSpPr/>
      </xdr:nvSpPr>
      <xdr:spPr>
        <a:xfrm>
          <a:off x="12695464" y="5497285"/>
          <a:ext cx="2626180" cy="6123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latin typeface="Consolas" panose="020B0609020204030204" pitchFamily="49" charset="0"/>
            </a:rPr>
            <a:t>Obtener</a:t>
          </a:r>
          <a:r>
            <a:rPr lang="es-CO" sz="1400" baseline="0">
              <a:latin typeface="Consolas" panose="020B0609020204030204" pitchFamily="49" charset="0"/>
            </a:rPr>
            <a:t> datos de la hoja consulta libro Bancos</a:t>
          </a:r>
          <a:endParaRPr lang="es-CO" sz="1400">
            <a:latin typeface="Consolas" panose="020B0609020204030204" pitchFamily="49" charset="0"/>
          </a:endParaRPr>
        </a:p>
      </xdr:txBody>
    </xdr:sp>
    <xdr:clientData/>
  </xdr:twoCellAnchor>
  <xdr:twoCellAnchor>
    <xdr:from>
      <xdr:col>13</xdr:col>
      <xdr:colOff>503465</xdr:colOff>
      <xdr:row>23</xdr:row>
      <xdr:rowOff>95249</xdr:rowOff>
    </xdr:from>
    <xdr:to>
      <xdr:col>23</xdr:col>
      <xdr:colOff>217715</xdr:colOff>
      <xdr:row>31</xdr:row>
      <xdr:rowOff>41385</xdr:rowOff>
    </xdr:to>
    <xdr:sp macro="" textlink="">
      <xdr:nvSpPr>
        <xdr:cNvPr id="13" name="Flecha: hacia la izquierda 12">
          <a:extLst>
            <a:ext uri="{FF2B5EF4-FFF2-40B4-BE49-F238E27FC236}">
              <a16:creationId xmlns:a16="http://schemas.microsoft.com/office/drawing/2014/main" id="{32A4C90C-748F-404C-9EA2-F3C418DDCC5D}"/>
            </a:ext>
          </a:extLst>
        </xdr:cNvPr>
        <xdr:cNvSpPr/>
      </xdr:nvSpPr>
      <xdr:spPr>
        <a:xfrm>
          <a:off x="15471322" y="5034642"/>
          <a:ext cx="7334250"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Antes de Usar este boton asegurese que la tabla "tbl_extracto" este vacia, oprimiendo el boton "Limpiar" y borrando todo residuo de informacion que quede en la tabla, esto asegurara un buen tratamiento de los datos.</a:t>
          </a:r>
        </a:p>
        <a:p>
          <a:pPr algn="l"/>
          <a:r>
            <a:rPr lang="es-CO" sz="1100" baseline="0">
              <a:solidFill>
                <a:srgbClr val="7030A0"/>
              </a:solidFill>
            </a:rPr>
            <a:t>&gt;Este boton lo usamos para obtener una copia de los datos de la hoja "Consulta Extracto" de forma automatica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466726</xdr:colOff>
      <xdr:row>4</xdr:row>
      <xdr:rowOff>0</xdr:rowOff>
    </xdr:from>
    <xdr:to>
      <xdr:col>7</xdr:col>
      <xdr:colOff>142876</xdr:colOff>
      <xdr:row>5</xdr:row>
      <xdr:rowOff>114300</xdr:rowOff>
    </xdr:to>
    <xdr:sp macro="[0]!consulta_extracto_pdf"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6238876" y="76200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twoCellAnchor>
    <xdr:from>
      <xdr:col>7</xdr:col>
      <xdr:colOff>771525</xdr:colOff>
      <xdr:row>8</xdr:row>
      <xdr:rowOff>66675</xdr:rowOff>
    </xdr:from>
    <xdr:to>
      <xdr:col>14</xdr:col>
      <xdr:colOff>552449</xdr:colOff>
      <xdr:row>13</xdr:row>
      <xdr:rowOff>104775</xdr:rowOff>
    </xdr:to>
    <xdr:sp macro="" textlink="">
      <xdr:nvSpPr>
        <xdr:cNvPr id="3" name="Rectángulo: esquinas redondeadas 2">
          <a:extLst>
            <a:ext uri="{FF2B5EF4-FFF2-40B4-BE49-F238E27FC236}">
              <a16:creationId xmlns:a16="http://schemas.microsoft.com/office/drawing/2014/main" id="{4D5FCEAE-C7A5-4C06-90D4-D58B7E96CF99}"/>
            </a:ext>
          </a:extLst>
        </xdr:cNvPr>
        <xdr:cNvSpPr/>
      </xdr:nvSpPr>
      <xdr:spPr>
        <a:xfrm>
          <a:off x="8067675" y="1590675"/>
          <a:ext cx="10315574" cy="99060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En</a:t>
          </a:r>
          <a:r>
            <a:rPr lang="es-CO" sz="1100" baseline="0">
              <a:solidFill>
                <a:srgbClr val="7030A0"/>
              </a:solidFill>
            </a:rPr>
            <a:t> esta tabla ingrese los siguientes datos:</a:t>
          </a:r>
        </a:p>
        <a:p>
          <a:pPr algn="l"/>
          <a:r>
            <a:rPr lang="es-CO" sz="1100" baseline="0">
              <a:solidFill>
                <a:srgbClr val="7030A0"/>
              </a:solidFill>
            </a:rPr>
            <a:t>La ubicacion del archivo: En que directorio de su computador guardo la carpeta.</a:t>
          </a:r>
        </a:p>
        <a:p>
          <a:pPr algn="l"/>
          <a:r>
            <a:rPr lang="es-CO" sz="1100" baseline="0">
              <a:solidFill>
                <a:srgbClr val="7030A0"/>
              </a:solidFill>
            </a:rPr>
            <a:t>Carpeta: El nombre de la carpeta donde esta el soporte a consiltar, recuerde que el formato especifico es muy importante, solo se hacepta el formato con el que se guarda el extracto en la hoja "Extracto Cta Bancolombia".</a:t>
          </a:r>
        </a:p>
        <a:p>
          <a:pPr algn="l"/>
          <a:r>
            <a:rPr lang="es-CO" sz="1100" baseline="0">
              <a:solidFill>
                <a:srgbClr val="7030A0"/>
              </a:solidFill>
            </a:rPr>
            <a:t>Archivo: El nombre con el que se esta guardando el archivo, debe ser formato "pdf".</a:t>
          </a:r>
        </a:p>
        <a:p>
          <a:pPr algn="l"/>
          <a:endParaRPr lang="es-CO" sz="1100">
            <a:solidFill>
              <a:srgbClr val="7030A0"/>
            </a:solidFill>
          </a:endParaRPr>
        </a:p>
      </xdr:txBody>
    </xdr:sp>
    <xdr:clientData/>
  </xdr:twoCellAnchor>
  <xdr:twoCellAnchor>
    <xdr:from>
      <xdr:col>6</xdr:col>
      <xdr:colOff>219079</xdr:colOff>
      <xdr:row>5</xdr:row>
      <xdr:rowOff>180975</xdr:rowOff>
    </xdr:from>
    <xdr:to>
      <xdr:col>7</xdr:col>
      <xdr:colOff>723902</xdr:colOff>
      <xdr:row>13</xdr:row>
      <xdr:rowOff>104776</xdr:rowOff>
    </xdr:to>
    <xdr:cxnSp macro="">
      <xdr:nvCxnSpPr>
        <xdr:cNvPr id="5" name="Conector: angular 4">
          <a:extLst>
            <a:ext uri="{FF2B5EF4-FFF2-40B4-BE49-F238E27FC236}">
              <a16:creationId xmlns:a16="http://schemas.microsoft.com/office/drawing/2014/main" id="{707E4735-7EDB-4DA8-A0E2-568BBC1DE95B}"/>
            </a:ext>
          </a:extLst>
        </xdr:cNvPr>
        <xdr:cNvCxnSpPr/>
      </xdr:nvCxnSpPr>
      <xdr:spPr>
        <a:xfrm rot="16200000" flipV="1">
          <a:off x="6662740" y="1223964"/>
          <a:ext cx="1447801" cy="1266823"/>
        </a:xfrm>
        <a:prstGeom prst="bentConnector3">
          <a:avLst>
            <a:gd name="adj1" fmla="val 50000"/>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1</xdr:row>
      <xdr:rowOff>119062</xdr:rowOff>
    </xdr:from>
    <xdr:to>
      <xdr:col>9</xdr:col>
      <xdr:colOff>476250</xdr:colOff>
      <xdr:row>6</xdr:row>
      <xdr:rowOff>171450</xdr:rowOff>
    </xdr:to>
    <xdr:sp macro="" textlink="">
      <xdr:nvSpPr>
        <xdr:cNvPr id="22" name="Flecha: a la derecha 21">
          <a:extLst>
            <a:ext uri="{FF2B5EF4-FFF2-40B4-BE49-F238E27FC236}">
              <a16:creationId xmlns:a16="http://schemas.microsoft.com/office/drawing/2014/main" id="{AB321729-E1F8-4D6D-B6BA-086E574D9C04}"/>
            </a:ext>
          </a:extLst>
        </xdr:cNvPr>
        <xdr:cNvSpPr/>
      </xdr:nvSpPr>
      <xdr:spPr>
        <a:xfrm rot="10800000">
          <a:off x="7548563" y="309562"/>
          <a:ext cx="2286000" cy="1004888"/>
        </a:xfrm>
        <a:prstGeom prst="rightArrow">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rgbClr val="7030A0"/>
            </a:solidFill>
          </a:endParaRPr>
        </a:p>
      </xdr:txBody>
    </xdr:sp>
    <xdr:clientData/>
  </xdr:twoCellAnchor>
  <xdr:twoCellAnchor>
    <xdr:from>
      <xdr:col>7</xdr:col>
      <xdr:colOff>416719</xdr:colOff>
      <xdr:row>2</xdr:row>
      <xdr:rowOff>178594</xdr:rowOff>
    </xdr:from>
    <xdr:to>
      <xdr:col>11</xdr:col>
      <xdr:colOff>1131094</xdr:colOff>
      <xdr:row>5</xdr:row>
      <xdr:rowOff>95250</xdr:rowOff>
    </xdr:to>
    <xdr:sp macro="" textlink="">
      <xdr:nvSpPr>
        <xdr:cNvPr id="24" name="Rectángulo: esquinas redondeadas 23">
          <a:extLst>
            <a:ext uri="{FF2B5EF4-FFF2-40B4-BE49-F238E27FC236}">
              <a16:creationId xmlns:a16="http://schemas.microsoft.com/office/drawing/2014/main" id="{E6710BE1-224E-44AF-AE47-0E984D5690C6}"/>
            </a:ext>
          </a:extLst>
        </xdr:cNvPr>
        <xdr:cNvSpPr/>
      </xdr:nvSpPr>
      <xdr:spPr>
        <a:xfrm>
          <a:off x="7774782" y="559594"/>
          <a:ext cx="6822281" cy="488156"/>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Oprima</a:t>
          </a:r>
          <a:r>
            <a:rPr lang="es-CO" sz="1100" baseline="0">
              <a:solidFill>
                <a:srgbClr val="7030A0"/>
              </a:solidFill>
            </a:rPr>
            <a:t> este boton si esta segur@ de haber llenado los datos del la tabla para la ruta del archivo; el archivo es el que se guarda en la hoja "Extracto Cta Bancolombia"</a:t>
          </a:r>
          <a:endParaRPr lang="es-CO" sz="1100">
            <a:solidFill>
              <a:srgbClr val="7030A0"/>
            </a:solidFill>
          </a:endParaRPr>
        </a:p>
      </xdr:txBody>
    </xdr:sp>
    <xdr:clientData/>
  </xdr:twoCellAnchor>
  <xdr:twoCellAnchor>
    <xdr:from>
      <xdr:col>5</xdr:col>
      <xdr:colOff>447675</xdr:colOff>
      <xdr:row>0</xdr:row>
      <xdr:rowOff>133350</xdr:rowOff>
    </xdr:from>
    <xdr:to>
      <xdr:col>6</xdr:col>
      <xdr:colOff>742950</xdr:colOff>
      <xdr:row>2</xdr:row>
      <xdr:rowOff>152400</xdr:rowOff>
    </xdr:to>
    <xdr:sp macro="" textlink="">
      <xdr:nvSpPr>
        <xdr:cNvPr id="27" name="Rectángulo: esquinas redondeadas 26">
          <a:hlinkClick xmlns:r="http://schemas.openxmlformats.org/officeDocument/2006/relationships" r:id="rId1"/>
          <a:extLst>
            <a:ext uri="{FF2B5EF4-FFF2-40B4-BE49-F238E27FC236}">
              <a16:creationId xmlns:a16="http://schemas.microsoft.com/office/drawing/2014/main" id="{404329D8-53B7-45A8-A067-A6E8788002D0}"/>
            </a:ext>
          </a:extLst>
        </xdr:cNvPr>
        <xdr:cNvSpPr/>
      </xdr:nvSpPr>
      <xdr:spPr>
        <a:xfrm>
          <a:off x="6219825" y="133350"/>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168384</xdr:colOff>
      <xdr:row>15</xdr:row>
      <xdr:rowOff>114410</xdr:rowOff>
    </xdr:from>
    <xdr:to>
      <xdr:col>8</xdr:col>
      <xdr:colOff>501759</xdr:colOff>
      <xdr:row>16</xdr:row>
      <xdr:rowOff>114410</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10394074" y="3289410"/>
          <a:ext cx="333375" cy="1861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8</xdr:col>
      <xdr:colOff>162253</xdr:colOff>
      <xdr:row>16</xdr:row>
      <xdr:rowOff>173749</xdr:rowOff>
    </xdr:from>
    <xdr:to>
      <xdr:col>8</xdr:col>
      <xdr:colOff>500007</xdr:colOff>
      <xdr:row>17</xdr:row>
      <xdr:rowOff>173750</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10387943" y="3534870"/>
          <a:ext cx="337754" cy="1861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31421</xdr:colOff>
      <xdr:row>46</xdr:row>
      <xdr:rowOff>164770</xdr:rowOff>
    </xdr:from>
    <xdr:to>
      <xdr:col>8</xdr:col>
      <xdr:colOff>1016875</xdr:colOff>
      <xdr:row>48</xdr:row>
      <xdr:rowOff>12369</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10493046" y="9292895"/>
          <a:ext cx="985454"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52551</xdr:colOff>
      <xdr:row>26</xdr:row>
      <xdr:rowOff>6788</xdr:rowOff>
    </xdr:from>
    <xdr:to>
      <xdr:col>8</xdr:col>
      <xdr:colOff>1066581</xdr:colOff>
      <xdr:row>27</xdr:row>
      <xdr:rowOff>39743</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10514176" y="5324913"/>
          <a:ext cx="1014030" cy="22345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383190</xdr:colOff>
      <xdr:row>5</xdr:row>
      <xdr:rowOff>131379</xdr:rowOff>
    </xdr:from>
    <xdr:to>
      <xdr:col>14</xdr:col>
      <xdr:colOff>135068</xdr:colOff>
      <xdr:row>12</xdr:row>
      <xdr:rowOff>177313</xdr:rowOff>
    </xdr:to>
    <xdr:sp macro="" textlink="">
      <xdr:nvSpPr>
        <xdr:cNvPr id="7" name="Rectángulo: esquinas redondeadas 6">
          <a:extLst>
            <a:ext uri="{FF2B5EF4-FFF2-40B4-BE49-F238E27FC236}">
              <a16:creationId xmlns:a16="http://schemas.microsoft.com/office/drawing/2014/main" id="{652A9766-78F0-4733-BFCD-2FD4F1430299}"/>
            </a:ext>
          </a:extLst>
        </xdr:cNvPr>
        <xdr:cNvSpPr/>
      </xdr:nvSpPr>
      <xdr:spPr>
        <a:xfrm>
          <a:off x="9076121" y="1061982"/>
          <a:ext cx="6222309" cy="1677228"/>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endParaRPr lang="es-CO" sz="1400">
            <a:solidFill>
              <a:srgbClr val="7030A0"/>
            </a:solidFill>
          </a:endParaRPr>
        </a:p>
      </xdr:txBody>
    </xdr:sp>
    <xdr:clientData/>
  </xdr:twoCellAnchor>
  <xdr:twoCellAnchor>
    <xdr:from>
      <xdr:col>8</xdr:col>
      <xdr:colOff>580258</xdr:colOff>
      <xdr:row>11</xdr:row>
      <xdr:rowOff>142326</xdr:rowOff>
    </xdr:from>
    <xdr:to>
      <xdr:col>17</xdr:col>
      <xdr:colOff>197068</xdr:colOff>
      <xdr:row>23</xdr:row>
      <xdr:rowOff>54411</xdr:rowOff>
    </xdr:to>
    <xdr:sp macro="" textlink="">
      <xdr:nvSpPr>
        <xdr:cNvPr id="8" name="Flecha: hacia la izquierda 7">
          <a:extLst>
            <a:ext uri="{FF2B5EF4-FFF2-40B4-BE49-F238E27FC236}">
              <a16:creationId xmlns:a16="http://schemas.microsoft.com/office/drawing/2014/main" id="{76D711D7-864E-451D-AEF1-1DCFBECE6EA8}"/>
            </a:ext>
          </a:extLst>
        </xdr:cNvPr>
        <xdr:cNvSpPr/>
      </xdr:nvSpPr>
      <xdr:spPr>
        <a:xfrm>
          <a:off x="10805948" y="2518102"/>
          <a:ext cx="6853620"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t>
          </a:r>
          <a:r>
            <a:rPr lang="es-CO" sz="1100">
              <a:solidFill>
                <a:srgbClr val="7030A0"/>
              </a:solidFill>
            </a:rPr>
            <a:t>Estamos en la hoja "Extracto</a:t>
          </a:r>
          <a:r>
            <a:rPr lang="es-CO" sz="1100" baseline="0">
              <a:solidFill>
                <a:srgbClr val="7030A0"/>
              </a:solidFill>
            </a:rPr>
            <a:t> Cta Bancolombia", y en esta hoja solo tenemos esta tabla llamada "tbl_extracto", en esta tabla manejamos un formato de formato de extracto que se usa como ejemplo de un extracto enviado por bancolombia (solo es un ejemplo).</a:t>
          </a:r>
        </a:p>
        <a:p>
          <a:pPr algn="l"/>
          <a:r>
            <a:rPr lang="es-CO" sz="1100" baseline="0">
              <a:solidFill>
                <a:srgbClr val="7030A0"/>
              </a:solidFill>
            </a:rPr>
            <a:t>&gt; Los botones "+" y "-" son los encargados de agregar o quitar filas a la parte inferior de la tabla, sobre la columna totales, si elimina filas, seborra la informacion que habia en ellas de forma permanente.</a:t>
          </a:r>
        </a:p>
      </xdr:txBody>
    </xdr:sp>
    <xdr:clientData/>
  </xdr:twoCellAnchor>
  <xdr:twoCellAnchor>
    <xdr:from>
      <xdr:col>9</xdr:col>
      <xdr:colOff>100176</xdr:colOff>
      <xdr:row>22</xdr:row>
      <xdr:rowOff>141452</xdr:rowOff>
    </xdr:from>
    <xdr:to>
      <xdr:col>18</xdr:col>
      <xdr:colOff>75761</xdr:colOff>
      <xdr:row>30</xdr:row>
      <xdr:rowOff>87588</xdr:rowOff>
    </xdr:to>
    <xdr:sp macro="" textlink="">
      <xdr:nvSpPr>
        <xdr:cNvPr id="9" name="Flecha: hacia la izquierda 8">
          <a:extLst>
            <a:ext uri="{FF2B5EF4-FFF2-40B4-BE49-F238E27FC236}">
              <a16:creationId xmlns:a16="http://schemas.microsoft.com/office/drawing/2014/main" id="{426865FD-E61E-4B69-9DDA-77F3C927A38F}"/>
            </a:ext>
          </a:extLst>
        </xdr:cNvPr>
        <xdr:cNvSpPr/>
      </xdr:nvSpPr>
      <xdr:spPr>
        <a:xfrm>
          <a:off x="11673051" y="4697577"/>
          <a:ext cx="6833585"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limpiar la tabla de forma automatica, siempre puede quedar la primera fila sin limpiar, pero esto se puede hacer de forma manual, una ves corregido este error se quitara este mensaje, pero es util si se deben limpiar miles de filas de forma rapida. </a:t>
          </a:r>
        </a:p>
      </xdr:txBody>
    </xdr:sp>
    <xdr:clientData/>
  </xdr:twoCellAnchor>
  <xdr:twoCellAnchor>
    <xdr:from>
      <xdr:col>9</xdr:col>
      <xdr:colOff>45325</xdr:colOff>
      <xdr:row>40</xdr:row>
      <xdr:rowOff>9743</xdr:rowOff>
    </xdr:from>
    <xdr:to>
      <xdr:col>20</xdr:col>
      <xdr:colOff>587375</xdr:colOff>
      <xdr:row>54</xdr:row>
      <xdr:rowOff>95250</xdr:rowOff>
    </xdr:to>
    <xdr:sp macro="" textlink="">
      <xdr:nvSpPr>
        <xdr:cNvPr id="10" name="Flecha: hacia la izquierda 9">
          <a:extLst>
            <a:ext uri="{FF2B5EF4-FFF2-40B4-BE49-F238E27FC236}">
              <a16:creationId xmlns:a16="http://schemas.microsoft.com/office/drawing/2014/main" id="{CB2478C7-E9ED-4EEF-A2F6-F35C6FFF9BA3}"/>
            </a:ext>
          </a:extLst>
        </xdr:cNvPr>
        <xdr:cNvSpPr/>
      </xdr:nvSpPr>
      <xdr:spPr>
        <a:xfrm>
          <a:off x="11618200" y="7994868"/>
          <a:ext cx="8924050" cy="2752507"/>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Este boton lo usamos para guardar una copia en PDF en una carpeta predeterminada en el escritorio de su PC llamada "Soportes Contables", dicha copia del archivo es el que se debe usar para crear la consulta, es muy importante que sea este PDF, por la configuracion interna. </a:t>
          </a:r>
        </a:p>
        <a:p>
          <a:pPr algn="l"/>
          <a:r>
            <a:rPr lang="es-CO" sz="1100" baseline="0">
              <a:solidFill>
                <a:srgbClr val="7030A0"/>
              </a:solidFill>
            </a:rPr>
            <a:t>Entramos a la carpeta "Soportes contables" y copiamos todo el nombre del archivo, incluyendo la extencion .pdf.</a:t>
          </a:r>
        </a:p>
        <a:p>
          <a:pPr algn="l"/>
          <a:r>
            <a:rPr lang="es-CO" sz="1100" baseline="0">
              <a:solidFill>
                <a:srgbClr val="7030A0"/>
              </a:solidFill>
            </a:rPr>
            <a:t>Vamos a la hoja consulta extracto y pegamos el nombre del archivo en la tabla "tbl_arch_pdf_a_consultar" en la fia "Archivo", una ves hay, podemos hacer la consulta,y obtener los datos del archivo PDF", Una ves hay,copiamos los datos y los traemos a esta tabla, luego ir a la hoja "hoja_trabajo_conciliacion_banca" y comenzar a hacer los analisis predeterminados.</a:t>
          </a:r>
        </a:p>
      </xdr:txBody>
    </xdr:sp>
    <xdr:clientData/>
  </xdr:twoCellAnchor>
  <xdr:twoCellAnchor>
    <xdr:from>
      <xdr:col>6</xdr:col>
      <xdr:colOff>339397</xdr:colOff>
      <xdr:row>0</xdr:row>
      <xdr:rowOff>87587</xdr:rowOff>
    </xdr:from>
    <xdr:to>
      <xdr:col>7</xdr:col>
      <xdr:colOff>630293</xdr:colOff>
      <xdr:row>2</xdr:row>
      <xdr:rowOff>115396</xdr:rowOff>
    </xdr:to>
    <xdr:sp macro="" textlink="">
      <xdr:nvSpPr>
        <xdr:cNvPr id="11" name="Rectángulo: esquinas redondeadas 10">
          <a:hlinkClick xmlns:r="http://schemas.openxmlformats.org/officeDocument/2006/relationships" r:id="rId2"/>
          <a:extLst>
            <a:ext uri="{FF2B5EF4-FFF2-40B4-BE49-F238E27FC236}">
              <a16:creationId xmlns:a16="http://schemas.microsoft.com/office/drawing/2014/main" id="{C4E443FA-9040-45D4-9BD3-7D8CB8F3E48E}"/>
            </a:ext>
          </a:extLst>
        </xdr:cNvPr>
        <xdr:cNvSpPr/>
      </xdr:nvSpPr>
      <xdr:spPr>
        <a:xfrm>
          <a:off x="9032328" y="87587"/>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twoCellAnchor>
    <xdr:from>
      <xdr:col>8</xdr:col>
      <xdr:colOff>15875</xdr:colOff>
      <xdr:row>33</xdr:row>
      <xdr:rowOff>174625</xdr:rowOff>
    </xdr:from>
    <xdr:to>
      <xdr:col>11</xdr:col>
      <xdr:colOff>6805</xdr:colOff>
      <xdr:row>37</xdr:row>
      <xdr:rowOff>24947</xdr:rowOff>
    </xdr:to>
    <xdr:sp macro="[0]!pasar_datos_entre_tablas_extracto" textlink="">
      <xdr:nvSpPr>
        <xdr:cNvPr id="12" name="Rectángulo: esquinas redondeadas 11">
          <a:extLst>
            <a:ext uri="{FF2B5EF4-FFF2-40B4-BE49-F238E27FC236}">
              <a16:creationId xmlns:a16="http://schemas.microsoft.com/office/drawing/2014/main" id="{9BEE9530-2B91-4F99-90B4-4D725837AC39}"/>
            </a:ext>
          </a:extLst>
        </xdr:cNvPr>
        <xdr:cNvSpPr/>
      </xdr:nvSpPr>
      <xdr:spPr>
        <a:xfrm>
          <a:off x="10477500" y="6826250"/>
          <a:ext cx="2626180" cy="6123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latin typeface="Consolas" panose="020B0609020204030204" pitchFamily="49" charset="0"/>
            </a:rPr>
            <a:t>Obtener</a:t>
          </a:r>
          <a:r>
            <a:rPr lang="es-CO" sz="1400" baseline="0">
              <a:latin typeface="Consolas" panose="020B0609020204030204" pitchFamily="49" charset="0"/>
            </a:rPr>
            <a:t> datos de la hoja consulta Extracto</a:t>
          </a:r>
          <a:endParaRPr lang="es-CO" sz="1400">
            <a:latin typeface="Consolas" panose="020B0609020204030204" pitchFamily="49" charset="0"/>
          </a:endParaRPr>
        </a:p>
      </xdr:txBody>
    </xdr:sp>
    <xdr:clientData/>
  </xdr:twoCellAnchor>
  <xdr:twoCellAnchor>
    <xdr:from>
      <xdr:col>11</xdr:col>
      <xdr:colOff>47625</xdr:colOff>
      <xdr:row>31</xdr:row>
      <xdr:rowOff>95250</xdr:rowOff>
    </xdr:from>
    <xdr:to>
      <xdr:col>20</xdr:col>
      <xdr:colOff>523875</xdr:colOff>
      <xdr:row>39</xdr:row>
      <xdr:rowOff>41386</xdr:rowOff>
    </xdr:to>
    <xdr:sp macro="" textlink="">
      <xdr:nvSpPr>
        <xdr:cNvPr id="13" name="Flecha: hacia la izquierda 12">
          <a:extLst>
            <a:ext uri="{FF2B5EF4-FFF2-40B4-BE49-F238E27FC236}">
              <a16:creationId xmlns:a16="http://schemas.microsoft.com/office/drawing/2014/main" id="{3EC99485-3079-48B0-84C1-66083A07E1E9}"/>
            </a:ext>
          </a:extLst>
        </xdr:cNvPr>
        <xdr:cNvSpPr/>
      </xdr:nvSpPr>
      <xdr:spPr>
        <a:xfrm>
          <a:off x="13154025" y="6381750"/>
          <a:ext cx="7334250" cy="1470136"/>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&gt;</a:t>
          </a:r>
          <a:r>
            <a:rPr lang="es-CO" sz="1100" baseline="0">
              <a:solidFill>
                <a:srgbClr val="7030A0"/>
              </a:solidFill>
            </a:rPr>
            <a:t> Antes de Usar este boton asegurese que la tabla "tbl_extracto" este vacia, oprimiendo el boton "Limpiar" y borrando todo residuo de informacion que quede en la tabla, esto asegurara un buen tratamiento de los datos.</a:t>
          </a:r>
        </a:p>
        <a:p>
          <a:pPr algn="l"/>
          <a:r>
            <a:rPr lang="es-CO" sz="1100" baseline="0">
              <a:solidFill>
                <a:srgbClr val="7030A0"/>
              </a:solidFill>
            </a:rPr>
            <a:t>&gt;Este boton lo usamos para obtener una copia de los datos de la hoja "Consulta Extracto" de forma automatica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0</xdr:colOff>
      <xdr:row>9</xdr:row>
      <xdr:rowOff>180975</xdr:rowOff>
    </xdr:from>
    <xdr:to>
      <xdr:col>9</xdr:col>
      <xdr:colOff>542925</xdr:colOff>
      <xdr:row>11</xdr:row>
      <xdr:rowOff>57150</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391650" y="2305050"/>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19050</xdr:colOff>
      <xdr:row>22</xdr:row>
      <xdr:rowOff>114300</xdr:rowOff>
    </xdr:from>
    <xdr:to>
      <xdr:col>9</xdr:col>
      <xdr:colOff>590550</xdr:colOff>
      <xdr:row>23</xdr:row>
      <xdr:rowOff>180975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410700" y="471487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19050</xdr:colOff>
      <xdr:row>35</xdr:row>
      <xdr:rowOff>133350</xdr:rowOff>
    </xdr:from>
    <xdr:to>
      <xdr:col>9</xdr:col>
      <xdr:colOff>600075</xdr:colOff>
      <xdr:row>37</xdr:row>
      <xdr:rowOff>9525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410700" y="721042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twoCellAnchor>
    <xdr:from>
      <xdr:col>9</xdr:col>
      <xdr:colOff>581024</xdr:colOff>
      <xdr:row>5</xdr:row>
      <xdr:rowOff>38099</xdr:rowOff>
    </xdr:from>
    <xdr:to>
      <xdr:col>16</xdr:col>
      <xdr:colOff>285749</xdr:colOff>
      <xdr:row>16</xdr:row>
      <xdr:rowOff>76199</xdr:rowOff>
    </xdr:to>
    <xdr:sp macro="" textlink="">
      <xdr:nvSpPr>
        <xdr:cNvPr id="5" name="Flecha: hacia la izquierda 4">
          <a:extLst>
            <a:ext uri="{FF2B5EF4-FFF2-40B4-BE49-F238E27FC236}">
              <a16:creationId xmlns:a16="http://schemas.microsoft.com/office/drawing/2014/main" id="{5D2CBE9B-EF74-4F52-A959-768706116147}"/>
            </a:ext>
          </a:extLst>
        </xdr:cNvPr>
        <xdr:cNvSpPr/>
      </xdr:nvSpPr>
      <xdr:spPr>
        <a:xfrm>
          <a:off x="10734674" y="1333499"/>
          <a:ext cx="5038725"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chemeClr val="accent6">
                  <a:lumMod val="50000"/>
                </a:schemeClr>
              </a:solidFill>
            </a:rPr>
            <a:t>Una vez</a:t>
          </a:r>
          <a:r>
            <a:rPr lang="es-CO" sz="1100" baseline="0">
              <a:solidFill>
                <a:schemeClr val="accent6">
                  <a:lumMod val="50000"/>
                </a:schemeClr>
              </a:solidFill>
            </a:rPr>
            <a:t> que en la hoja "Extracto Cta Bancolombia" ya tenemos la tabla del extracto correcto que se obtiene de la hoja "Consulta Extracto", entonces oprimimos este boton para analizar los valores que se han omitido en la hoja "Libro Auxiliar Bancos" y en la hoja </a:t>
          </a:r>
          <a:r>
            <a:rPr lang="es-CO" sz="1100" baseline="0">
              <a:solidFill>
                <a:schemeClr val="accent6">
                  <a:lumMod val="50000"/>
                </a:schemeClr>
              </a:solidFill>
              <a:effectLst/>
              <a:latin typeface="+mn-lt"/>
              <a:ea typeface="+mn-ea"/>
              <a:cs typeface="+mn-cs"/>
            </a:rPr>
            <a:t>"Extracto Cta Bancolombia" , estos valores se subrayan en color amarillo.</a:t>
          </a:r>
          <a:endParaRPr lang="es-CO" sz="1100">
            <a:solidFill>
              <a:schemeClr val="accent6">
                <a:lumMod val="50000"/>
              </a:schemeClr>
            </a:solidFill>
          </a:endParaRPr>
        </a:p>
      </xdr:txBody>
    </xdr:sp>
    <xdr:clientData/>
  </xdr:twoCellAnchor>
  <xdr:twoCellAnchor>
    <xdr:from>
      <xdr:col>9</xdr:col>
      <xdr:colOff>600074</xdr:colOff>
      <xdr:row>17</xdr:row>
      <xdr:rowOff>133349</xdr:rowOff>
    </xdr:from>
    <xdr:to>
      <xdr:col>16</xdr:col>
      <xdr:colOff>304799</xdr:colOff>
      <xdr:row>29</xdr:row>
      <xdr:rowOff>47624</xdr:rowOff>
    </xdr:to>
    <xdr:sp macro="" textlink="">
      <xdr:nvSpPr>
        <xdr:cNvPr id="6" name="Flecha: hacia la izquierda 5">
          <a:extLst>
            <a:ext uri="{FF2B5EF4-FFF2-40B4-BE49-F238E27FC236}">
              <a16:creationId xmlns:a16="http://schemas.microsoft.com/office/drawing/2014/main" id="{1428375C-965D-4EB8-826F-BC45EA7CD3AC}"/>
            </a:ext>
          </a:extLst>
        </xdr:cNvPr>
        <xdr:cNvSpPr/>
      </xdr:nvSpPr>
      <xdr:spPr>
        <a:xfrm>
          <a:off x="10753724" y="3781424"/>
          <a:ext cx="5038725"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chemeClr val="accent6">
                  <a:lumMod val="50000"/>
                </a:schemeClr>
              </a:solidFill>
            </a:rPr>
            <a:t>Este boton lo oprimimos</a:t>
          </a:r>
          <a:r>
            <a:rPr lang="es-CO" sz="1100" baseline="0">
              <a:solidFill>
                <a:schemeClr val="accent6">
                  <a:lumMod val="50000"/>
                </a:schemeClr>
              </a:solidFill>
            </a:rPr>
            <a:t> para que se analicen automaticamente los valores en los que se cometieron errores al momento del registro de los valores en las tabla de hoja auxiliar de bancos y en la tanla de la hoja extracto cta bancolomnbia, estos errores se marcan en rojo en ambas tablas, y tambien se marcan en verde los registros que estan correctos en ambas tablas.</a:t>
          </a:r>
          <a:endParaRPr lang="es-CO" sz="1100">
            <a:solidFill>
              <a:schemeClr val="accent6">
                <a:lumMod val="50000"/>
              </a:schemeClr>
            </a:solidFill>
          </a:endParaRPr>
        </a:p>
      </xdr:txBody>
    </xdr:sp>
    <xdr:clientData/>
  </xdr:twoCellAnchor>
  <xdr:twoCellAnchor>
    <xdr:from>
      <xdr:col>9</xdr:col>
      <xdr:colOff>619124</xdr:colOff>
      <xdr:row>30</xdr:row>
      <xdr:rowOff>95249</xdr:rowOff>
    </xdr:from>
    <xdr:to>
      <xdr:col>16</xdr:col>
      <xdr:colOff>323849</xdr:colOff>
      <xdr:row>42</xdr:row>
      <xdr:rowOff>9524</xdr:rowOff>
    </xdr:to>
    <xdr:sp macro="" textlink="">
      <xdr:nvSpPr>
        <xdr:cNvPr id="7" name="Flecha: hacia la izquierda 6">
          <a:extLst>
            <a:ext uri="{FF2B5EF4-FFF2-40B4-BE49-F238E27FC236}">
              <a16:creationId xmlns:a16="http://schemas.microsoft.com/office/drawing/2014/main" id="{3623F89B-9B62-4BDF-A302-D3D112AB7BE7}"/>
            </a:ext>
          </a:extLst>
        </xdr:cNvPr>
        <xdr:cNvSpPr/>
      </xdr:nvSpPr>
      <xdr:spPr>
        <a:xfrm>
          <a:off x="10772774" y="6219824"/>
          <a:ext cx="5038725" cy="2200275"/>
        </a:xfrm>
        <a:prstGeom prst="leftArrow">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chemeClr val="accent6">
                  <a:lumMod val="50000"/>
                </a:schemeClr>
              </a:solidFill>
            </a:rPr>
            <a:t>Este</a:t>
          </a:r>
          <a:r>
            <a:rPr lang="es-CO" sz="1100" baseline="0">
              <a:solidFill>
                <a:schemeClr val="accent6">
                  <a:lumMod val="50000"/>
                </a:schemeClr>
              </a:solidFill>
            </a:rPr>
            <a:t> boton solo lo oprimimos si ya hemos obtenido los datos de omitidos y diferencia, con el fin de que se hallaen las diferencias y se registren en la colimna de Diferencia de esta tabla de trabajo.</a:t>
          </a:r>
          <a:endParaRPr lang="es-CO" sz="1100">
            <a:solidFill>
              <a:schemeClr val="accent6">
                <a:lumMod val="50000"/>
              </a:schemeClr>
            </a:solidFill>
          </a:endParaRPr>
        </a:p>
      </xdr:txBody>
    </xdr:sp>
    <xdr:clientData/>
  </xdr:twoCellAnchor>
  <xdr:twoCellAnchor>
    <xdr:from>
      <xdr:col>7</xdr:col>
      <xdr:colOff>152400</xdr:colOff>
      <xdr:row>0</xdr:row>
      <xdr:rowOff>28575</xdr:rowOff>
    </xdr:from>
    <xdr:to>
      <xdr:col>20</xdr:col>
      <xdr:colOff>609600</xdr:colOff>
      <xdr:row>6</xdr:row>
      <xdr:rowOff>95250</xdr:rowOff>
    </xdr:to>
    <xdr:sp macro="" textlink="">
      <xdr:nvSpPr>
        <xdr:cNvPr id="8" name="Rectángulo: esquinas redondeadas 7">
          <a:extLst>
            <a:ext uri="{FF2B5EF4-FFF2-40B4-BE49-F238E27FC236}">
              <a16:creationId xmlns:a16="http://schemas.microsoft.com/office/drawing/2014/main" id="{56B2219C-ACA7-4531-B7A0-947C06483861}"/>
            </a:ext>
          </a:extLst>
        </xdr:cNvPr>
        <xdr:cNvSpPr/>
      </xdr:nvSpPr>
      <xdr:spPr>
        <a:xfrm>
          <a:off x="8782050" y="28575"/>
          <a:ext cx="10363200" cy="1619250"/>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&gt; Si desea</a:t>
          </a:r>
          <a:r>
            <a:rPr lang="es-CO" sz="1400" baseline="0">
              <a:solidFill>
                <a:srgbClr val="7030A0"/>
              </a:solidFill>
            </a:rPr>
            <a:t> hacer el proceso manual esta bien, pero permitase comprovar los procesos automatizados que esta incluidos en esta hoja, notara que le permitiran hacer su trabajo de una forma mas eficiente y rapida, si ocurre algun error en el momento de la ejecucio, no entre en panico, oprima a finalizar al error e intente nuevamente, tambien lo puede hacer de forma manual, este es un softwre en desarrollo asi que los errores son habituales, pido disculpas.</a:t>
          </a:r>
        </a:p>
        <a:p>
          <a:pPr algn="l"/>
          <a:r>
            <a:rPr lang="es-CO" sz="1400" baseline="0">
              <a:solidFill>
                <a:srgbClr val="7030A0"/>
              </a:solidFill>
            </a:rPr>
            <a:t>&gt; Para trabajar en esta hoja debe eliminar las celdas de la hoja de trabajo de forma manual, una ves tengamos la macro para borra las filas automaticamente, la implementaremos y este mensaje sera eliminado</a:t>
          </a:r>
        </a:p>
        <a:p>
          <a:pPr algn="l"/>
          <a:endParaRPr lang="es-CO" sz="1400">
            <a:solidFill>
              <a:srgbClr val="7030A0"/>
            </a:solidFill>
          </a:endParaRPr>
        </a:p>
      </xdr:txBody>
    </xdr:sp>
    <xdr:clientData/>
  </xdr:twoCellAnchor>
  <xdr:twoCellAnchor>
    <xdr:from>
      <xdr:col>0</xdr:col>
      <xdr:colOff>142875</xdr:colOff>
      <xdr:row>1</xdr:row>
      <xdr:rowOff>19050</xdr:rowOff>
    </xdr:from>
    <xdr:to>
      <xdr:col>1</xdr:col>
      <xdr:colOff>400050</xdr:colOff>
      <xdr:row>2</xdr:row>
      <xdr:rowOff>85725</xdr:rowOff>
    </xdr:to>
    <xdr:sp macro="" textlink="">
      <xdr:nvSpPr>
        <xdr:cNvPr id="9" name="Rectángulo: esquinas redondeadas 8">
          <a:hlinkClick xmlns:r="http://schemas.openxmlformats.org/officeDocument/2006/relationships" r:id="rId1"/>
          <a:extLst>
            <a:ext uri="{FF2B5EF4-FFF2-40B4-BE49-F238E27FC236}">
              <a16:creationId xmlns:a16="http://schemas.microsoft.com/office/drawing/2014/main" id="{3E65D073-9CC1-4A27-861C-1C79D0E666B8}"/>
            </a:ext>
          </a:extLst>
        </xdr:cNvPr>
        <xdr:cNvSpPr/>
      </xdr:nvSpPr>
      <xdr:spPr>
        <a:xfrm>
          <a:off x="142875" y="209550"/>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600490</xdr:colOff>
      <xdr:row>11</xdr:row>
      <xdr:rowOff>155298</xdr:rowOff>
    </xdr:from>
    <xdr:to>
      <xdr:col>10</xdr:col>
      <xdr:colOff>569430</xdr:colOff>
      <xdr:row>13</xdr:row>
      <xdr:rowOff>93180</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581658" y="2857499"/>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11</xdr:col>
      <xdr:colOff>1045679</xdr:colOff>
      <xdr:row>11</xdr:row>
      <xdr:rowOff>134591</xdr:rowOff>
    </xdr:from>
    <xdr:to>
      <xdr:col>12</xdr:col>
      <xdr:colOff>352010</xdr:colOff>
      <xdr:row>13</xdr:row>
      <xdr:rowOff>82825</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8925761" y="2836792"/>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twoCellAnchor>
    <xdr:from>
      <xdr:col>12</xdr:col>
      <xdr:colOff>1470163</xdr:colOff>
      <xdr:row>0</xdr:row>
      <xdr:rowOff>207065</xdr:rowOff>
    </xdr:from>
    <xdr:to>
      <xdr:col>19</xdr:col>
      <xdr:colOff>134593</xdr:colOff>
      <xdr:row>6</xdr:row>
      <xdr:rowOff>207065</xdr:rowOff>
    </xdr:to>
    <xdr:sp macro="" textlink="">
      <xdr:nvSpPr>
        <xdr:cNvPr id="8" name="Rectángulo: esquinas redondeadas 7">
          <a:extLst>
            <a:ext uri="{FF2B5EF4-FFF2-40B4-BE49-F238E27FC236}">
              <a16:creationId xmlns:a16="http://schemas.microsoft.com/office/drawing/2014/main" id="{0029AA1A-158F-43A3-8379-C9E0637C1241}"/>
            </a:ext>
          </a:extLst>
        </xdr:cNvPr>
        <xdr:cNvSpPr/>
      </xdr:nvSpPr>
      <xdr:spPr>
        <a:xfrm>
          <a:off x="21058533" y="207065"/>
          <a:ext cx="10560326" cy="1625462"/>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En esta</a:t>
          </a:r>
          <a:r>
            <a:rPr lang="es-CO" sz="1100" baseline="0">
              <a:solidFill>
                <a:srgbClr val="7030A0"/>
              </a:solidFill>
            </a:rPr>
            <a:t> hoja llamada "Conciliacion Bancaria" Tenemos una tabla principa llamada "tbl_cociliacion_bancaria_1"  que es en la que creamos todas las tablas de esta hoja, tenemos dos botones para manejarla, el boton llamado "Crear tabla" lo oprimimos para que el codigo asociado tome cada fila de la tabla y cree una tabla nueva en esta misma hoja con los valores da cada columna, si el titulo de la tabla ya esta en la tabla, no se crea esta tabla, si el nombre de la tabla esta repetido, no se creala tabla, surge un error y el programa se detiene.</a:t>
          </a:r>
        </a:p>
        <a:p>
          <a:pPr algn="l"/>
          <a:endParaRPr lang="es-CO" sz="1100" baseline="0">
            <a:solidFill>
              <a:srgbClr val="7030A0"/>
            </a:solidFill>
          </a:endParaRPr>
        </a:p>
        <a:p>
          <a:pPr algn="l"/>
          <a:r>
            <a:rPr lang="es-CO" sz="1100" baseline="0">
              <a:solidFill>
                <a:srgbClr val="7030A0"/>
              </a:solidFill>
            </a:rPr>
            <a:t>El boton llamado "+", sirve para insertar una fila en la parte inferior de la tabla y sobre la fila de totales, en esta nueva fila se puede crear una tabla nueva.</a:t>
          </a:r>
        </a:p>
        <a:p>
          <a:pPr algn="l"/>
          <a:r>
            <a:rPr lang="es-CO" sz="1100" baseline="0">
              <a:solidFill>
                <a:srgbClr val="7030A0"/>
              </a:solidFill>
            </a:rPr>
            <a:t>En esta tabla solo tenemos las 16 tablas que vamos a usar para este proposito, esto de tener una tabla de tablas es util si deseo llevar un control de las tablas en esta hoja, o si requerimos crear multiples tablas de forma rapida, o si necesitamos trabajar en todas las tablas al mismo tiempo usando codigo.</a:t>
          </a:r>
          <a:endParaRPr lang="es-CO" sz="1100">
            <a:solidFill>
              <a:srgbClr val="7030A0"/>
            </a:solidFill>
          </a:endParaRPr>
        </a:p>
      </xdr:txBody>
    </xdr:sp>
    <xdr:clientData/>
  </xdr:twoCellAnchor>
  <xdr:twoCellAnchor>
    <xdr:from>
      <xdr:col>9</xdr:col>
      <xdr:colOff>62120</xdr:colOff>
      <xdr:row>14</xdr:row>
      <xdr:rowOff>10352</xdr:rowOff>
    </xdr:from>
    <xdr:to>
      <xdr:col>11</xdr:col>
      <xdr:colOff>186358</xdr:colOff>
      <xdr:row>31</xdr:row>
      <xdr:rowOff>82825</xdr:rowOff>
    </xdr:to>
    <xdr:sp macro="" textlink="">
      <xdr:nvSpPr>
        <xdr:cNvPr id="9" name="Globo: flecha hacia arriba 8">
          <a:extLst>
            <a:ext uri="{FF2B5EF4-FFF2-40B4-BE49-F238E27FC236}">
              <a16:creationId xmlns:a16="http://schemas.microsoft.com/office/drawing/2014/main" id="{26184B5C-5227-465D-921E-99DD3ACB7ABA}"/>
            </a:ext>
          </a:extLst>
        </xdr:cNvPr>
        <xdr:cNvSpPr/>
      </xdr:nvSpPr>
      <xdr:spPr>
        <a:xfrm>
          <a:off x="15043288" y="3271629"/>
          <a:ext cx="3023152" cy="3240571"/>
        </a:xfrm>
        <a:prstGeom prst="upArrow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Este</a:t>
          </a:r>
          <a:r>
            <a:rPr lang="es-CO" sz="1100" baseline="0">
              <a:solidFill>
                <a:srgbClr val="7030A0"/>
              </a:solidFill>
            </a:rPr>
            <a:t> boton lo oprimimos ptbl_cociliacion_bancaria_1ara obtener un alisis de los valores para cada tipo de conciliacion, esto se genera de forma automatica, basandonos en los codigos de las transacciones que se obtubieron en la hoja de trabajo, la forma masiva de llenado de tablas es gracias a iterar sobre la tabla principal que tiene todos los nombre de las tablas secundarias y un acolumna que define en que sentido va la operacion, si de libro a extracto o visceversa.</a:t>
          </a:r>
          <a:endParaRPr lang="es-CO" sz="1100">
            <a:solidFill>
              <a:srgbClr val="7030A0"/>
            </a:solidFill>
          </a:endParaRPr>
        </a:p>
      </xdr:txBody>
    </xdr:sp>
    <xdr:clientData/>
  </xdr:twoCellAnchor>
  <xdr:twoCellAnchor>
    <xdr:from>
      <xdr:col>11</xdr:col>
      <xdr:colOff>214519</xdr:colOff>
      <xdr:row>14</xdr:row>
      <xdr:rowOff>31060</xdr:rowOff>
    </xdr:from>
    <xdr:to>
      <xdr:col>12</xdr:col>
      <xdr:colOff>1529383</xdr:colOff>
      <xdr:row>19</xdr:row>
      <xdr:rowOff>124239</xdr:rowOff>
    </xdr:to>
    <xdr:sp macro="" textlink="">
      <xdr:nvSpPr>
        <xdr:cNvPr id="10" name="Globo: flecha hacia arriba 9">
          <a:extLst>
            <a:ext uri="{FF2B5EF4-FFF2-40B4-BE49-F238E27FC236}">
              <a16:creationId xmlns:a16="http://schemas.microsoft.com/office/drawing/2014/main" id="{1CFE41A2-0580-40A4-8DEC-9AB22D3CB827}"/>
            </a:ext>
          </a:extLst>
        </xdr:cNvPr>
        <xdr:cNvSpPr/>
      </xdr:nvSpPr>
      <xdr:spPr>
        <a:xfrm>
          <a:off x="18094601" y="3292337"/>
          <a:ext cx="3023152" cy="1024973"/>
        </a:xfrm>
        <a:prstGeom prst="upArrowCallou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solidFill>
                <a:srgbClr val="7030A0"/>
              </a:solidFill>
            </a:rPr>
            <a:t>Este boton se oprime cuando deseemos</a:t>
          </a:r>
          <a:r>
            <a:rPr lang="es-CO" sz="1100" baseline="0">
              <a:solidFill>
                <a:srgbClr val="7030A0"/>
              </a:solidFill>
            </a:rPr>
            <a:t> hacer un nuevo analisis, limpiara toda las filas de las tablas automaticamente.</a:t>
          </a:r>
          <a:endParaRPr lang="es-CO" sz="1100">
            <a:solidFill>
              <a:srgbClr val="7030A0"/>
            </a:solidFill>
          </a:endParaRPr>
        </a:p>
      </xdr:txBody>
    </xdr:sp>
    <xdr:clientData/>
  </xdr:twoCellAnchor>
  <xdr:twoCellAnchor>
    <xdr:from>
      <xdr:col>7</xdr:col>
      <xdr:colOff>786848</xdr:colOff>
      <xdr:row>0</xdr:row>
      <xdr:rowOff>186359</xdr:rowOff>
    </xdr:from>
    <xdr:to>
      <xdr:col>11</xdr:col>
      <xdr:colOff>1345923</xdr:colOff>
      <xdr:row>6</xdr:row>
      <xdr:rowOff>238125</xdr:rowOff>
    </xdr:to>
    <xdr:sp macro="" textlink="">
      <xdr:nvSpPr>
        <xdr:cNvPr id="11" name="Rectángulo: esquinas redondeadas 10">
          <a:extLst>
            <a:ext uri="{FF2B5EF4-FFF2-40B4-BE49-F238E27FC236}">
              <a16:creationId xmlns:a16="http://schemas.microsoft.com/office/drawing/2014/main" id="{D58CEFA6-51E3-4E61-9CEE-6C95027942F1}"/>
            </a:ext>
          </a:extLst>
        </xdr:cNvPr>
        <xdr:cNvSpPr/>
      </xdr:nvSpPr>
      <xdr:spPr>
        <a:xfrm>
          <a:off x="13003696" y="186359"/>
          <a:ext cx="6222309" cy="1677228"/>
        </a:xfrm>
        <a:prstGeom prst="roundRect">
          <a:avLst/>
        </a:prstGeom>
        <a:solidFill>
          <a:schemeClr val="accent5">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400">
              <a:solidFill>
                <a:srgbClr val="7030A0"/>
              </a:solidFill>
            </a:rPr>
            <a:t>Si desea</a:t>
          </a:r>
          <a:r>
            <a:rPr lang="es-CO" sz="1400" baseline="0">
              <a:solidFill>
                <a:srgbClr val="7030A0"/>
              </a:solidFill>
            </a:rPr>
            <a:t> hacer el proceso manual esta bien, pero permitase comprovar los procesos automatizados que esta incluidos en esta hoja, notara que le permitiran hacer los procesos de una forma mas eficiente y rapida, si ocurre algun error en el momento de la ejecucio, no entre en panico, dele a finalizar al error e intente nuevamente, tambien lo puede hacer de forma manual, este es un softwre en desarrollo asi que los errores son habituales, pido disculpas.</a:t>
          </a:r>
          <a:endParaRPr lang="es-CO" sz="1400">
            <a:solidFill>
              <a:srgbClr val="7030A0"/>
            </a:solidFill>
          </a:endParaRPr>
        </a:p>
      </xdr:txBody>
    </xdr:sp>
    <xdr:clientData/>
  </xdr:twoCellAnchor>
  <xdr:twoCellAnchor>
    <xdr:from>
      <xdr:col>0</xdr:col>
      <xdr:colOff>217418</xdr:colOff>
      <xdr:row>0</xdr:row>
      <xdr:rowOff>248479</xdr:rowOff>
    </xdr:from>
    <xdr:to>
      <xdr:col>1</xdr:col>
      <xdr:colOff>477492</xdr:colOff>
      <xdr:row>2</xdr:row>
      <xdr:rowOff>58393</xdr:rowOff>
    </xdr:to>
    <xdr:sp macro="" textlink="">
      <xdr:nvSpPr>
        <xdr:cNvPr id="12" name="Rectángulo: esquinas redondeadas 11">
          <a:hlinkClick xmlns:r="http://schemas.openxmlformats.org/officeDocument/2006/relationships" r:id="rId1"/>
          <a:extLst>
            <a:ext uri="{FF2B5EF4-FFF2-40B4-BE49-F238E27FC236}">
              <a16:creationId xmlns:a16="http://schemas.microsoft.com/office/drawing/2014/main" id="{7D0F988E-6BEE-4982-AE21-90DB7AAF75DD}"/>
            </a:ext>
          </a:extLst>
        </xdr:cNvPr>
        <xdr:cNvSpPr/>
      </xdr:nvSpPr>
      <xdr:spPr>
        <a:xfrm>
          <a:off x="217418" y="248479"/>
          <a:ext cx="1057275" cy="400050"/>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rgbClr val="7030A0"/>
              </a:solidFill>
            </a:rPr>
            <a:t>PORTADA</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8" xr16:uid="{826E598F-FDF4-419E-8D78-3DD3DAEA3625}" autoFormatId="16" applyNumberFormats="0" applyBorderFormats="0" applyFontFormats="1" applyPatternFormats="1" applyAlignmentFormats="0" applyWidthHeightFormats="0">
  <queryTableRefresh nextId="7">
    <queryTableFields count="6">
      <queryTableField id="1" name="Fecha" tableColumnId="7"/>
      <queryTableField id="2" name="Detalle" tableColumnId="8"/>
      <queryTableField id="3" name="Documento" tableColumnId="9"/>
      <queryTableField id="4" name="Debe" tableColumnId="10"/>
      <queryTableField id="5" name="Haber" tableColumnId="11"/>
      <queryTableField id="6" name="Saldo"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15" xr16:uid="{C16BC9C6-FF74-4F58-A70D-C909047A1264}"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2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8" totalsRowCount="1" headerRowDxfId="333">
  <autoFilter ref="A13:G17"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332" totalsRowDxfId="4"/>
    <tableColumn id="4" xr3:uid="{A8C3DCB1-A1AA-4F29-AB1E-0A2E682C3530}" name="Cantidad" totalsRowFunction="sum" dataDxfId="331" totalsRowDxfId="3"/>
    <tableColumn id="5" xr3:uid="{614B29C1-F3BF-4DF9-904D-94721E98CBEC}" name="Dcto." totalsRowFunction="sum" dataDxfId="330" totalsRowDxfId="2"/>
    <tableColumn id="6" xr3:uid="{5F152225-0439-4330-A9A1-E874E7F9AFC3}" name="IVA %" totalsRowFunction="sum" dataDxfId="329" totalsRowDxfId="1"/>
    <tableColumn id="7" xr3:uid="{3B53B34F-4EAA-4944-9CED-32BC39517FAB}" name="Valor total" totalsRowFunction="sum" dataDxfId="328" totalsRowDxfId="0"/>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9EB27493-7708-45AD-B8EB-D848ABF7D073}" name="tbl_soporte_compra" displayName="tbl_soporte_compra" ref="C11:I12" insertRow="1" totalsRowShown="0">
  <autoFilter ref="C11:I12" xr:uid="{9EB27493-7708-45AD-B8EB-D848ABF7D073}"/>
  <tableColumns count="7">
    <tableColumn id="1" xr3:uid="{89016237-7514-47DC-8B45-B2E9CF4AF576}" name="Descripcion "/>
    <tableColumn id="2" xr3:uid="{66EA57F5-E6B7-4CC5-AA24-563A080697CB}" name="Cantidad"/>
    <tableColumn id="3" xr3:uid="{18018565-DF8A-49BF-8DB2-3A8EC6D75717}" name="Vr Unitario"/>
    <tableColumn id="4" xr3:uid="{EC49DCE2-7F30-4700-90F0-57789E89F0C3}" name="Vr Total"/>
    <tableColumn id="5" xr3:uid="{A99872C5-E692-4C4C-910E-706A44FE1D76}" name="IVA"/>
    <tableColumn id="6" xr3:uid="{AADB787D-AC52-4FAE-96EC-34994342CF4D}" name="Descuento"/>
    <tableColumn id="7" xr3:uid="{91436185-1934-449D-A334-CF040D508D15}" name="Total a paga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327" totalsRowDxfId="326"/>
    <tableColumn id="4" xr3:uid="{334E5B37-F36E-4327-A1A1-871F7172D729}" name="Cantidad" totalsRowFunction="sum" dataDxfId="325" totalsRowDxfId="324"/>
    <tableColumn id="5" xr3:uid="{C8E09F96-E344-4397-A22C-842F27212EB7}" name="% Ganancia"/>
    <tableColumn id="6" xr3:uid="{4785F2DB-38BC-4DAD-B87E-948CB98343E5}" name="Valor total" totalsRowFunction="sum" dataDxfId="323" totalsRowDxfId="322">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321"/>
    <tableColumn id="4" xr3:uid="{566487BE-7A8F-479C-BC98-6CE36583601D}" name="Debe" totalsRowFunction="sum" dataDxfId="320" totalsRowDxfId="319"/>
    <tableColumn id="5" xr3:uid="{0FDDDE24-7D3E-40D9-A7CF-C1ABAD690151}" name="Haber" totalsRowFunction="sum" dataDxfId="318" totalsRowDxfId="31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316" totalsRowDxfId="315"/>
    <tableColumn id="7" xr3:uid="{876CB599-EEB3-45DF-9CFA-4DB44A3B52AC}" name="IVA" totalsRowFunction="sum" dataDxfId="314" totalsRowDxfId="313"/>
    <tableColumn id="8" xr3:uid="{42FB424A-7513-4114-876B-F0B2EDBF4CD2}" name="Valor con IVA" totalsRowFunction="sum" dataDxfId="312" totalsRowDxfId="31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310" totalsRowDxfId="309"/>
    <tableColumn id="3" xr3:uid="{71B39168-8F5B-47CF-9237-6F6FC655C0B9}" name="Valor" totalsRowFunction="sum" dataDxfId="308" totalsRowDxfId="30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306" totalsRowDxfId="305"/>
    <tableColumn id="3" xr3:uid="{0461D468-C8E3-4599-951F-F7946A646CCE}" name="Valor" totalsRowFunction="sum" dataDxfId="304" totalsRowDxfId="30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302" totalsRowDxfId="7"/>
    <tableColumn id="4" xr3:uid="{B45669F8-9524-44A4-A62E-8950B2BA2222}" name="Debe" totalsRowFunction="sum" dataDxfId="301" totalsRowDxfId="6"/>
    <tableColumn id="5" xr3:uid="{D708AA91-103B-44B4-8E9C-257B6509A4BC}" name="Haber" totalsRowFunction="sum" dataDxfId="300" totalsRowDxfId="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I3:M20" totalsRowCount="1">
  <autoFilter ref="I3:M19"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99" totalsRowDxfId="29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453CE158-F35C-44A7-A9AC-A33D2156B8C3}" name="tbl_registro_mayor_1" displayName="tbl_registro_mayor_1" ref="A4:E6" insertRow="1" totalsRowCount="1">
  <autoFilter ref="A4:E5" xr:uid="{453CE158-F35C-44A7-A9AC-A33D2156B8C3}">
    <filterColumn colId="0" hiddenButton="1"/>
    <filterColumn colId="1" hiddenButton="1"/>
    <filterColumn colId="2" hiddenButton="1"/>
    <filterColumn colId="3" hiddenButton="1"/>
    <filterColumn colId="4" hiddenButton="1"/>
  </autoFilter>
  <tableColumns count="5">
    <tableColumn id="1" xr3:uid="{F73480FA-40CD-4DB8-9E39-A486E02F86D9}" name="Codigo" totalsRowLabel="Total"/>
    <tableColumn id="2" xr3:uid="{25D94BAA-CE9E-490A-B1A5-1249FD7BCE9F}" name="Cuenta"/>
    <tableColumn id="3" xr3:uid="{E37324E8-ECF9-4CEA-8F26-584578780BFC}" name="Parcial"/>
    <tableColumn id="4" xr3:uid="{63EFBCDC-C427-403E-8EDE-BA6208B8AA32}" name="Debe" totalsRowFunction="sum" dataDxfId="70" totalsRowDxfId="71"/>
    <tableColumn id="5" xr3:uid="{65C198D5-1DCC-42D8-A253-30EAF8E90A41}" name="Haber" totalsRowFunction="sum" dataDxfId="69" totalsRowDxfId="6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D94BECF-53B1-4BCB-A183-175BD11E407D}" name="tbl_registro_mayor_2" displayName="tbl_registro_mayor_2" ref="A8:E10" insertRow="1" totalsRowCount="1">
  <autoFilter ref="A8:E9" xr:uid="{BD94BECF-53B1-4BCB-A183-175BD11E407D}">
    <filterColumn colId="0" hiddenButton="1"/>
    <filterColumn colId="1" hiddenButton="1"/>
    <filterColumn colId="2" hiddenButton="1"/>
    <filterColumn colId="3" hiddenButton="1"/>
    <filterColumn colId="4" hiddenButton="1"/>
  </autoFilter>
  <tableColumns count="5">
    <tableColumn id="1" xr3:uid="{383982B4-96BD-44B0-94C0-0367E6B8CFDF}" name="Codigo" totalsRowLabel="Total"/>
    <tableColumn id="2" xr3:uid="{AF126C04-A16D-4E2B-8E9D-B62277C34B36}" name="Cuenta"/>
    <tableColumn id="3" xr3:uid="{E0524496-5909-45F3-B854-9D3D584F4AA4}" name="Parcial"/>
    <tableColumn id="4" xr3:uid="{636C9E05-DEA2-497B-AEB4-A5B7FEA4C26B}" name="Debe" totalsRowFunction="sum" dataDxfId="66" totalsRowDxfId="67"/>
    <tableColumn id="5" xr3:uid="{B00E0261-00ED-445A-935D-126FC67E2D6C}" name="Haber" totalsRowFunction="sum" dataDxfId="65" totalsRowDxfId="6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B0AEE31D-9601-404B-985B-D4C95D1ABFEA}" name="tbl_registro_mayor_3" displayName="tbl_registro_mayor_3" ref="A12:E14" insertRow="1" totalsRowCount="1">
  <autoFilter ref="A12:E13" xr:uid="{B0AEE31D-9601-404B-985B-D4C95D1ABFEA}">
    <filterColumn colId="0" hiddenButton="1"/>
    <filterColumn colId="1" hiddenButton="1"/>
    <filterColumn colId="2" hiddenButton="1"/>
    <filterColumn colId="3" hiddenButton="1"/>
    <filterColumn colId="4" hiddenButton="1"/>
  </autoFilter>
  <tableColumns count="5">
    <tableColumn id="1" xr3:uid="{50CEE00E-0FA1-4843-9762-31372C710907}" name="Codigo" totalsRowLabel="Total"/>
    <tableColumn id="2" xr3:uid="{1BADDE78-9406-4395-A9F6-B5D0DE02D530}" name="Cuenta"/>
    <tableColumn id="3" xr3:uid="{CE1B7130-D453-42C0-979D-4D587A358AAE}" name="Parcial"/>
    <tableColumn id="4" xr3:uid="{224B2481-0690-4960-BAEE-CB6E38C46600}" name="Debe" totalsRowFunction="sum" dataDxfId="62" totalsRowDxfId="63"/>
    <tableColumn id="5" xr3:uid="{1269655A-B82C-4601-892C-E170643E8AAD}" name="Haber" totalsRowFunction="sum" dataDxfId="61" totalsRowDxfId="6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91B0E80-AFC1-4899-894F-EB1EEF74D9E3}" name="tbl_registro_mayor_4" displayName="tbl_registro_mayor_4" ref="A16:E18" insertRow="1" totalsRowCount="1">
  <autoFilter ref="A16:E17" xr:uid="{091B0E80-AFC1-4899-894F-EB1EEF74D9E3}">
    <filterColumn colId="0" hiddenButton="1"/>
    <filterColumn colId="1" hiddenButton="1"/>
    <filterColumn colId="2" hiddenButton="1"/>
    <filterColumn colId="3" hiddenButton="1"/>
    <filterColumn colId="4" hiddenButton="1"/>
  </autoFilter>
  <tableColumns count="5">
    <tableColumn id="1" xr3:uid="{96BED959-8336-4728-B937-C74364387357}" name="Codigo" totalsRowLabel="Total"/>
    <tableColumn id="2" xr3:uid="{F8D1C519-2E88-4E80-B3BE-29CEFAF374C0}" name="Cuenta"/>
    <tableColumn id="3" xr3:uid="{CB1A5C79-CB18-44C1-9B2E-680B2BCDDBC0}" name="Parcial"/>
    <tableColumn id="4" xr3:uid="{36012F78-D245-42C8-A618-61863E6AFC7C}" name="Debe" totalsRowFunction="sum" dataDxfId="58" totalsRowDxfId="59"/>
    <tableColumn id="5" xr3:uid="{393D17CB-34B0-4949-B440-0B6FBD6F5C05}" name="Haber" totalsRowFunction="sum" dataDxfId="57" totalsRow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691A6B05-4D08-4050-9418-17C295644199}" name="tbl_registro_mayor_5" displayName="tbl_registro_mayor_5" ref="A20:E22" insertRow="1" totalsRowCount="1">
  <autoFilter ref="A20:E21" xr:uid="{691A6B05-4D08-4050-9418-17C295644199}">
    <filterColumn colId="0" hiddenButton="1"/>
    <filterColumn colId="1" hiddenButton="1"/>
    <filterColumn colId="2" hiddenButton="1"/>
    <filterColumn colId="3" hiddenButton="1"/>
    <filterColumn colId="4" hiddenButton="1"/>
  </autoFilter>
  <tableColumns count="5">
    <tableColumn id="1" xr3:uid="{FF30ED0E-E512-4EB1-868B-60B9B0C6AB11}" name="Codigo" totalsRowLabel="Total"/>
    <tableColumn id="2" xr3:uid="{6BA11FD2-4844-40DB-8CA5-90F80FFD4BB6}" name="Cuenta"/>
    <tableColumn id="3" xr3:uid="{0CC5BD97-3751-44F4-AB53-056FCF4CF7FC}" name="Parcial"/>
    <tableColumn id="4" xr3:uid="{F947254D-B00D-4B51-8EBD-6B3360D2F6A4}" name="Debe" totalsRowFunction="sum" dataDxfId="54" totalsRowDxfId="55"/>
    <tableColumn id="5" xr3:uid="{FC196DF9-0E3A-409B-B5EF-026672AF3064}" name="Haber" totalsRowFunction="sum" dataDxfId="53" totalsRowDxfId="5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7947151D-2B5B-463F-98B1-8826E96710BD}" name="tbl_registro_mayor_6" displayName="tbl_registro_mayor_6" ref="A24:E26" insertRow="1" totalsRowCount="1">
  <autoFilter ref="A24:E25" xr:uid="{7947151D-2B5B-463F-98B1-8826E96710BD}">
    <filterColumn colId="0" hiddenButton="1"/>
    <filterColumn colId="1" hiddenButton="1"/>
    <filterColumn colId="2" hiddenButton="1"/>
    <filterColumn colId="3" hiddenButton="1"/>
    <filterColumn colId="4" hiddenButton="1"/>
  </autoFilter>
  <tableColumns count="5">
    <tableColumn id="1" xr3:uid="{E626D4C7-54DB-470D-90EB-CB53B78CCBDF}" name="Codigo" totalsRowLabel="Total"/>
    <tableColumn id="2" xr3:uid="{94597300-9827-49E4-9F1C-5881B5ECA1C5}" name="Cuenta"/>
    <tableColumn id="3" xr3:uid="{96A9AF60-117E-4818-AA79-6291574241A3}" name="Parcial"/>
    <tableColumn id="4" xr3:uid="{7FC71A48-F15A-4D21-B142-1BA2CF98B5B1}" name="Debe" totalsRowFunction="sum" dataDxfId="50" totalsRowDxfId="51"/>
    <tableColumn id="5" xr3:uid="{8A1620EC-D908-4457-8523-F3F6BB936908}" name="Haber" totalsRowFunction="sum" dataDxfId="49" totalsRowDxfId="4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97BA6FD6-B3D8-4D19-9876-5341B5AB0C5D}" name="tbl_registro_mayor_7" displayName="tbl_registro_mayor_7" ref="A28:E30" insertRow="1" totalsRowCount="1">
  <autoFilter ref="A28:E29" xr:uid="{97BA6FD6-B3D8-4D19-9876-5341B5AB0C5D}">
    <filterColumn colId="0" hiddenButton="1"/>
    <filterColumn colId="1" hiddenButton="1"/>
    <filterColumn colId="2" hiddenButton="1"/>
    <filterColumn colId="3" hiddenButton="1"/>
    <filterColumn colId="4" hiddenButton="1"/>
  </autoFilter>
  <tableColumns count="5">
    <tableColumn id="1" xr3:uid="{CB3E01AC-5DE5-40A2-982E-C014A73861F8}" name="Codigo" totalsRowLabel="Total"/>
    <tableColumn id="2" xr3:uid="{30D638A8-8201-4202-B89C-6F515F618821}" name="Cuenta"/>
    <tableColumn id="3" xr3:uid="{00CCA30B-78E2-4BFC-9015-B93EF8C947E1}" name="Parcial"/>
    <tableColumn id="4" xr3:uid="{64D03D67-282C-415B-B6DB-95D5C78A6025}" name="Debe" totalsRowFunction="sum" dataDxfId="46" totalsRowDxfId="47"/>
    <tableColumn id="5" xr3:uid="{062B48B5-23B9-430B-A304-DA4A4653B934}" name="Haber" totalsRowFunction="sum" dataDxfId="45" totalsRowDxfId="4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4799A6C-FDC2-442E-B5BC-3004AEEE34E6}" name="tbl_registro_mayor_8" displayName="tbl_registro_mayor_8" ref="A32:E34" insertRow="1" totalsRowCount="1">
  <autoFilter ref="A32:E33" xr:uid="{B4799A6C-FDC2-442E-B5BC-3004AEEE34E6}">
    <filterColumn colId="0" hiddenButton="1"/>
    <filterColumn colId="1" hiddenButton="1"/>
    <filterColumn colId="2" hiddenButton="1"/>
    <filterColumn colId="3" hiddenButton="1"/>
    <filterColumn colId="4" hiddenButton="1"/>
  </autoFilter>
  <tableColumns count="5">
    <tableColumn id="1" xr3:uid="{58E0B4A4-B5B0-4104-B378-933B31DCF273}" name="Codigo" totalsRowLabel="Total"/>
    <tableColumn id="2" xr3:uid="{318F4007-D6D2-43BB-9583-E0EE3CDB85FE}" name="Cuenta"/>
    <tableColumn id="3" xr3:uid="{E02D04F2-A699-47D2-88B9-8CC2410AAFC9}" name="Parcial"/>
    <tableColumn id="4" xr3:uid="{1AFC9C35-5E7E-4D93-85E9-6E3ABDB2647D}" name="Debe" totalsRowFunction="sum" dataDxfId="42" totalsRowDxfId="43"/>
    <tableColumn id="5" xr3:uid="{54000FCB-6DA7-4FB8-BD04-1DEF2A4D8C36}" name="Haber" totalsRowFunction="sum" dataDxfId="41" totalsRowDxfId="4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22AE8C26-EDE6-4624-8287-48D34C978F78}" name="tbl_registro_mayor_9" displayName="tbl_registro_mayor_9" ref="A36:E38" insertRow="1" totalsRowCount="1">
  <autoFilter ref="A36:E37" xr:uid="{22AE8C26-EDE6-4624-8287-48D34C978F78}">
    <filterColumn colId="0" hiddenButton="1"/>
    <filterColumn colId="1" hiddenButton="1"/>
    <filterColumn colId="2" hiddenButton="1"/>
    <filterColumn colId="3" hiddenButton="1"/>
    <filterColumn colId="4" hiddenButton="1"/>
  </autoFilter>
  <tableColumns count="5">
    <tableColumn id="1" xr3:uid="{07475FED-EBAF-4B91-982F-68045C43F252}" name="Codigo" totalsRowLabel="Total"/>
    <tableColumn id="2" xr3:uid="{4948FCBA-9C57-4099-A38E-1F264886510C}" name="Cuenta"/>
    <tableColumn id="3" xr3:uid="{EAFE0FCF-7A3D-4486-BFD4-4F9F97954389}" name="Parcial"/>
    <tableColumn id="4" xr3:uid="{4BD9C109-214E-48EE-BF8D-EDF9A268D4E8}" name="Debe" totalsRowFunction="sum" dataDxfId="38" totalsRowDxfId="39"/>
    <tableColumn id="5" xr3:uid="{9BF62759-A943-4ED5-8968-9FC2671E6C2A}" name="Haber" totalsRowFunction="sum" dataDxfId="37" totalsRowDxfId="3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5E87C6A-0C41-4E6A-BF4E-B9DBE0C1949D}" name="tbl_registro_mayor_10" displayName="tbl_registro_mayor_10" ref="A40:E42" insertRow="1" totalsRowCount="1">
  <autoFilter ref="A40:E41" xr:uid="{15E87C6A-0C41-4E6A-BF4E-B9DBE0C1949D}">
    <filterColumn colId="0" hiddenButton="1"/>
    <filterColumn colId="1" hiddenButton="1"/>
    <filterColumn colId="2" hiddenButton="1"/>
    <filterColumn colId="3" hiddenButton="1"/>
    <filterColumn colId="4" hiddenButton="1"/>
  </autoFilter>
  <tableColumns count="5">
    <tableColumn id="1" xr3:uid="{33284C5C-139D-4481-9227-446F2E0A3B6A}" name="Codigo" totalsRowLabel="Total"/>
    <tableColumn id="2" xr3:uid="{1E3E3F15-719B-467A-BFD3-4DCAA521DD4E}" name="Cuenta"/>
    <tableColumn id="3" xr3:uid="{8252E2EA-DD79-4161-9D61-6AFA2C90DE92}" name="Parcial"/>
    <tableColumn id="4" xr3:uid="{B4C4B912-A884-4982-86B6-E0924B18D009}" name="Debe" totalsRowFunction="sum" dataDxfId="34" totalsRowDxfId="35"/>
    <tableColumn id="5" xr3:uid="{90E4C41C-F479-48AB-AB9D-D631B3C5DC84}" name="Haber" totalsRowFunction="sum" dataDxfId="33" totalsRowDxfId="3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B01E6A8B-28B7-40F9-B313-A01DA4CE8ED3}" name="tbl_registro_mayor_11" displayName="tbl_registro_mayor_11" ref="A44:E46" insertRow="1" totalsRowCount="1">
  <autoFilter ref="A44:E45" xr:uid="{B01E6A8B-28B7-40F9-B313-A01DA4CE8ED3}">
    <filterColumn colId="0" hiddenButton="1"/>
    <filterColumn colId="1" hiddenButton="1"/>
    <filterColumn colId="2" hiddenButton="1"/>
    <filterColumn colId="3" hiddenButton="1"/>
    <filterColumn colId="4" hiddenButton="1"/>
  </autoFilter>
  <tableColumns count="5">
    <tableColumn id="1" xr3:uid="{B00A4AC6-FD13-47F1-954D-3A99E0C0C847}" name="Codigo" totalsRowLabel="Total"/>
    <tableColumn id="2" xr3:uid="{D6B3E659-D1E7-40C2-9D29-BDDFD12F29EE}" name="Cuenta"/>
    <tableColumn id="3" xr3:uid="{077FB28D-B8B6-4CAB-947F-17BECD22FC43}" name="Parcial"/>
    <tableColumn id="4" xr3:uid="{5641CDF3-EE10-4264-9210-FE22C3AB9DE6}" name="Debe" totalsRowFunction="sum" dataDxfId="30" totalsRowDxfId="31"/>
    <tableColumn id="5" xr3:uid="{5665C51F-6228-4320-B530-A495FB4A09FD}" name="Haber" totalsRowFunction="sum" dataDxfId="29" totalsRowDxfId="2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2D54AE8F-E7D5-431B-91EE-0568031BBC03}" name="tbl_registro_mayor_12" displayName="tbl_registro_mayor_12" ref="I125:M127" insertRow="1" totalsRowCount="1">
  <autoFilter ref="I125:M126" xr:uid="{2D54AE8F-E7D5-431B-91EE-0568031BBC03}">
    <filterColumn colId="0" hiddenButton="1"/>
    <filterColumn colId="1" hiddenButton="1"/>
    <filterColumn colId="2" hiddenButton="1"/>
    <filterColumn colId="3" hiddenButton="1"/>
    <filterColumn colId="4" hiddenButton="1"/>
  </autoFilter>
  <tableColumns count="5">
    <tableColumn id="1" xr3:uid="{85584D5A-6C27-4DC9-A0AB-C558C68CDDF8}" name="Codigo" totalsRowLabel="Total"/>
    <tableColumn id="2" xr3:uid="{C139E682-0C6D-4324-AA19-7A9E591376EA}" name="Cuenta"/>
    <tableColumn id="3" xr3:uid="{5C912DA1-798C-4AA0-ACDE-9D2EECCDA9F5}" name="Parcial"/>
    <tableColumn id="4" xr3:uid="{376C4149-95A0-4431-8B60-05358B9F2FC1}" name="Debe" totalsRowFunction="sum" dataDxfId="26" totalsRowDxfId="27"/>
    <tableColumn id="5" xr3:uid="{243F5ECC-3CC0-449F-9CFD-885EC6C2AA87}" name="Haber" totalsRowFunction="sum" dataDxfId="25" totalsRowDxfId="2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8A205F1-15FA-4C32-BA24-E145F2E0D1BC}" name="tbl_registro_mayor_13" displayName="tbl_registro_mayor_13" ref="I129:M131" insertRow="1" totalsRowCount="1">
  <autoFilter ref="I129:M130" xr:uid="{E8A205F1-15FA-4C32-BA24-E145F2E0D1BC}">
    <filterColumn colId="0" hiddenButton="1"/>
    <filterColumn colId="1" hiddenButton="1"/>
    <filterColumn colId="2" hiddenButton="1"/>
    <filterColumn colId="3" hiddenButton="1"/>
    <filterColumn colId="4" hiddenButton="1"/>
  </autoFilter>
  <tableColumns count="5">
    <tableColumn id="1" xr3:uid="{81FE3ED6-FE2A-4FBD-907B-C2CB2237411F}" name="Codigo" totalsRowLabel="Total"/>
    <tableColumn id="2" xr3:uid="{6282423A-CCE7-4B3B-897A-A02939A2B044}" name="Cuenta"/>
    <tableColumn id="3" xr3:uid="{FCAB2129-1A76-4287-9113-81A8398775C5}" name="Parcial"/>
    <tableColumn id="4" xr3:uid="{0D38D7FF-8EEB-434B-8C2E-A52B502BAEE4}" name="Debe" totalsRowFunction="sum" dataDxfId="22" totalsRowDxfId="23"/>
    <tableColumn id="5" xr3:uid="{546685B8-31D1-4286-948A-3000288D6AEB}" name="Haber" totalsRowFunction="sum" dataDxfId="21" totalsRowDxfId="2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1CC841A-1C63-4B7D-BFDF-F047CD899620}" name="tbl_registro_mayor_14" displayName="tbl_registro_mayor_14" ref="I133:M135" insertRow="1" totalsRowCount="1">
  <autoFilter ref="I133:M134" xr:uid="{31CC841A-1C63-4B7D-BFDF-F047CD899620}">
    <filterColumn colId="0" hiddenButton="1"/>
    <filterColumn colId="1" hiddenButton="1"/>
    <filterColumn colId="2" hiddenButton="1"/>
    <filterColumn colId="3" hiddenButton="1"/>
    <filterColumn colId="4" hiddenButton="1"/>
  </autoFilter>
  <tableColumns count="5">
    <tableColumn id="1" xr3:uid="{0308C16C-437E-4382-AC5D-58ED3BBFB009}" name="Codigo" totalsRowLabel="Total"/>
    <tableColumn id="2" xr3:uid="{79B84C77-8798-4ECC-8529-9AB9521BDA2E}" name="Cuenta"/>
    <tableColumn id="3" xr3:uid="{6768E3C4-2BF3-4229-BB33-6B238642E34F}" name="Parcial"/>
    <tableColumn id="4" xr3:uid="{3112F925-F70C-4FE0-9579-42BFBF5E9112}" name="Debe" totalsRowFunction="sum" dataDxfId="18" totalsRowDxfId="19"/>
    <tableColumn id="5" xr3:uid="{EA0498B5-0D30-49C6-8500-2FFFC95F13D9}" name="Haber" totalsRowFunction="sum" dataDxfId="17" totalsRowDxfId="1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D127281-9940-46CD-A62D-38E3E8D7B76D}" name="tbl_registro_mayor_15" displayName="tbl_registro_mayor_15" ref="I137:M139" insertRow="1" totalsRowCount="1">
  <autoFilter ref="I137:M138" xr:uid="{2D127281-9940-46CD-A62D-38E3E8D7B76D}">
    <filterColumn colId="0" hiddenButton="1"/>
    <filterColumn colId="1" hiddenButton="1"/>
    <filterColumn colId="2" hiddenButton="1"/>
    <filterColumn colId="3" hiddenButton="1"/>
    <filterColumn colId="4" hiddenButton="1"/>
  </autoFilter>
  <tableColumns count="5">
    <tableColumn id="1" xr3:uid="{C3CE0475-33DC-482A-976F-939C34A81748}" name="Codigo" totalsRowLabel="Total"/>
    <tableColumn id="2" xr3:uid="{4DE03B5B-5A5A-498A-9255-B8F3D2CEC33A}" name="Cuenta"/>
    <tableColumn id="3" xr3:uid="{08A6A51A-21AE-4F21-9A09-8A87ECC75BC4}" name="Parcial"/>
    <tableColumn id="4" xr3:uid="{0DC69F69-8D52-435F-A205-62E928CE34EE}" name="Debe" totalsRowFunction="sum" dataDxfId="14" totalsRowDxfId="15"/>
    <tableColumn id="5" xr3:uid="{8B11D3E9-7F65-492A-B6FE-9A9967609472}" name="Haber" totalsRowFunction="sum" dataDxfId="13" totalsRowDxfId="1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171176A-2DAD-43C2-9158-3146BA1559EA}" name="tbl_registro_mayor_16" displayName="tbl_registro_mayor_16" ref="I162:M164" insertRow="1" totalsRowCount="1">
  <autoFilter ref="I162:M163" xr:uid="{D171176A-2DAD-43C2-9158-3146BA1559EA}">
    <filterColumn colId="0" hiddenButton="1"/>
    <filterColumn colId="1" hiddenButton="1"/>
    <filterColumn colId="2" hiddenButton="1"/>
    <filterColumn colId="3" hiddenButton="1"/>
    <filterColumn colId="4" hiddenButton="1"/>
  </autoFilter>
  <tableColumns count="5">
    <tableColumn id="1" xr3:uid="{A91AA7C2-EE89-4839-84F2-AF122888A30A}" name="Codigo" totalsRowLabel="Total"/>
    <tableColumn id="2" xr3:uid="{64E3F152-BB66-4BE8-B4B0-80A9ECD0DA15}" name="Cuenta"/>
    <tableColumn id="3" xr3:uid="{91126A8E-1FDA-469D-97EB-F48391A47942}" name="Parcial"/>
    <tableColumn id="4" xr3:uid="{6805BFAF-14E2-48D1-961F-255BE900C624}" name="Debe" totalsRowFunction="sum" dataDxfId="10" totalsRowDxfId="11"/>
    <tableColumn id="5" xr3:uid="{E46E7824-A66C-455F-AD6B-6585EB4621E9}" name="Haber" totalsRowFunction="sum" dataDxfId="9" totalsRowDxfId="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97"/>
    <tableColumn id="5" xr3:uid="{9429A308-5036-4C32-9507-C5B26AB665B6}" name="Debe" totalsRowFunction="sum" dataDxfId="296" totalsRowDxfId="295"/>
    <tableColumn id="6" xr3:uid="{055351D5-5F7F-4D1E-998C-342FCF670354}" name="Haber" totalsRowFunction="sum" dataDxfId="294" totalsRowDxfId="29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73299979-E648-49A5-A74E-862012D7B6F6}" name="tbl_arch_pdf_a_consultar2" displayName="tbl_arch_pdf_a_consultar2" ref="L17:N18" totalsRowShown="0">
  <autoFilter ref="L17:N18" xr:uid="{73299979-E648-49A5-A74E-862012D7B6F6}"/>
  <tableColumns count="3">
    <tableColumn id="1" xr3:uid="{2CEC558E-586B-49B7-BB5E-22A589924252}" name="Ubicación"/>
    <tableColumn id="2" xr3:uid="{F6174B7B-5E34-4202-A30B-9847DBDC7327}" name="Carpeta"/>
    <tableColumn id="3" xr3:uid="{5BB7D5C2-F6D2-40EE-9BA4-A2122B2A0170}" name="Archivo"/>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D3ADE4B-645C-4D09-9CA1-4D448868D66B}" name="tbl_consulta_lb_bancos" displayName="tbl_consulta_lb_bancos" ref="A1:F32" tableType="queryTable" totalsRowShown="0">
  <autoFilter ref="A1:F32" xr:uid="{4D3ADE4B-645C-4D09-9CA1-4D448868D66B}"/>
  <tableColumns count="6">
    <tableColumn id="7" xr3:uid="{30FB49AD-0E6B-43E6-9E97-309081DA1066}" uniqueName="7" name="Fecha" queryTableFieldId="1" dataDxfId="292"/>
    <tableColumn id="8" xr3:uid="{41997384-E33F-4E98-A0C3-7385D5F98CB7}" uniqueName="8" name="Detalle" queryTableFieldId="2" dataDxfId="291"/>
    <tableColumn id="9" xr3:uid="{231D7E91-8037-4098-B944-1DC23BC1B8A3}" uniqueName="9" name="Documento" queryTableFieldId="3" dataDxfId="290"/>
    <tableColumn id="10" xr3:uid="{FED78265-2CFC-48A9-A80D-98F19B3AA16F}" uniqueName="10" name="Debe" queryTableFieldId="4" dataDxfId="289"/>
    <tableColumn id="11" xr3:uid="{9B053180-EBDF-4B7B-A47E-311E51D23397}" uniqueName="11" name="Haber" queryTableFieldId="5" dataDxfId="288"/>
    <tableColumn id="12" xr3:uid="{54FA1E5B-1BAA-4D10-9A18-6BEB0B19D061}" uniqueName="12" name="Saldo" queryTableFieldId="6"/>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11" totalsRowCount="1" headerRowDxfId="287" dataDxfId="286" totalsRowDxfId="285">
  <autoFilter ref="C9:H1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84" totalsRowDxfId="283"/>
    <tableColumn id="2" xr3:uid="{D3FF3515-9047-4BBB-869A-D2E11918C23B}" name="Detalle" dataDxfId="282" totalsRowDxfId="281"/>
    <tableColumn id="3" xr3:uid="{8759BD7C-9D88-4606-89D6-DD4F7BB40422}" name="Documento" dataDxfId="280" totalsRowDxfId="279"/>
    <tableColumn id="4" xr3:uid="{C36E1D5A-C1C0-4543-B5D9-9FBB3E24D5F2}" name="Debe" totalsRowFunction="sum" dataDxfId="278" totalsRowDxfId="277"/>
    <tableColumn id="5" xr3:uid="{27E80D36-9F48-4468-8839-F41EFD7A554F}" name="Haber" totalsRowFunction="sum" dataDxfId="276" totalsRowDxfId="275"/>
    <tableColumn id="6" xr3:uid="{0791213B-FED9-40D3-9C22-17D8FA6639DE}" name="Saldo" totalsRowFunction="custom" dataDxfId="274" totalsRowDxfId="273">
      <totalsRowFormula array="1">INDEX(tbl_libro_auxiliar_bancos[Saldo], COUNT(tbl_libro_auxiliar_bancos[Saldo]))</totalsRow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53A72DC-21C6-4C8F-95D9-00B4182F54AA}" name="tbl_arch_pdf_a_consultar1" displayName="tbl_arch_pdf_a_consultar1" ref="H15:J16" totalsRowShown="0">
  <autoFilter ref="H15:J16" xr:uid="{653A72DC-21C6-4C8F-95D9-00B4182F54AA}"/>
  <tableColumns count="3">
    <tableColumn id="1" xr3:uid="{702B8279-17CE-444D-8C4D-B77932CBC918}" name="Ubicación"/>
    <tableColumn id="2" xr3:uid="{59D75398-C1A3-4C1A-88C3-97F6FDE1EA3B}" name="Carpeta"/>
    <tableColumn id="3" xr3:uid="{25CF8B6F-3B07-49FC-920F-B5920BC2E1AA}" name="Archivo"/>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4E2C61C1-6557-4601-A816-C2B767C0AA21}" name="tbl_consulta_extracto" displayName="tbl_consulta_extracto" ref="A1:E41" tableType="queryTable" totalsRowShown="0">
  <autoFilter ref="A1:E41" xr:uid="{4E2C61C1-6557-4601-A816-C2B767C0AA21}"/>
  <tableColumns count="5">
    <tableColumn id="6" xr3:uid="{D69EB0D4-F3CA-4D28-AF1D-71CB47062748}" uniqueName="6" name="Fecha" queryTableFieldId="1" dataDxfId="272"/>
    <tableColumn id="7" xr3:uid="{5490B84B-5205-477C-B283-38B700712B07}" uniqueName="7" name="Detalle" queryTableFieldId="2" dataDxfId="271"/>
    <tableColumn id="8" xr3:uid="{56D7D6FE-62CF-4615-AFC6-F5EB1047EFBA}" uniqueName="8" name="Documento" queryTableFieldId="3" dataDxfId="270"/>
    <tableColumn id="9" xr3:uid="{ABD4DAE3-B834-40DE-A913-40339672657C}" uniqueName="9" name="Valor" queryTableFieldId="4"/>
    <tableColumn id="10" xr3:uid="{62E2AD50-5415-422A-9CC0-13E862D3FC2B}" uniqueName="10" name="Saldo" queryTableFieldId="5"/>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1" totalsRowCount="1" headerRowDxfId="269" dataDxfId="268" totalsRowDxfId="267">
  <autoFilter ref="B19:F60"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266" totalsRowDxfId="265"/>
    <tableColumn id="2" xr3:uid="{054A8930-BAEE-4B5B-B56A-CBCAB37B55C1}" name="Detalle" dataDxfId="264" totalsRowDxfId="263"/>
    <tableColumn id="3" xr3:uid="{83D7B0F5-FE48-412F-AE9E-7CD9CF616640}" name="Documento" dataDxfId="262" totalsRowDxfId="261"/>
    <tableColumn id="4" xr3:uid="{D7CD5589-8EA4-4582-A2F6-06E76B66BAD3}" name="Valor" totalsRowFunction="sum" dataDxfId="260" totalsRowDxfId="259"/>
    <tableColumn id="5" xr3:uid="{6ADA082B-577A-46D0-A3F5-EB19E21A3E9A}" name="Saldo" totalsRowFunction="custom" dataDxfId="258" totalsRowDxfId="257">
      <totalsRowFormula array="1">INDEX(tbl_extracto[Saldo], COUNT(tbl_extracto[Saldo]))</totalsRow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56" totalsRowDxfId="25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254" totalsRowDxfId="25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16" insertRow="1" totalsRowCount="1">
  <autoFilter ref="C14:E15" xr:uid="{6B455294-D318-42A7-95D6-6A9A3921A296}">
    <filterColumn colId="0" hiddenButton="1"/>
    <filterColumn colId="1" hiddenButton="1"/>
    <filterColumn colId="2" hiddenButton="1"/>
  </autoFilter>
  <tableColumns count="3">
    <tableColumn id="1" xr3:uid="{3642BC76-2C58-44FF-8782-05686146E9AB}" name="Detalle" totalsRowLabel="Total" dataDxfId="252" totalsRowDxfId="251"/>
    <tableColumn id="2" xr3:uid="{6AEFDE4D-5858-499D-B665-A6E55CDD0F7F}" name="Documento" dataDxfId="250" totalsRowDxfId="249"/>
    <tableColumn id="3" xr3:uid="{9CC3CC01-E374-4785-8298-2387AFF901DF}" name="Valor" totalsRowFunction="sum" dataDxfId="248" totalsRowDxfId="24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0:E22" insertRow="1" totalsRowCount="1" dataDxfId="246">
  <autoFilter ref="C20:E21" xr:uid="{5678955B-1BCB-48EA-98E9-289031744D1A}">
    <filterColumn colId="0" hiddenButton="1"/>
    <filterColumn colId="1" hiddenButton="1"/>
    <filterColumn colId="2" hiddenButton="1"/>
  </autoFilter>
  <tableColumns count="3">
    <tableColumn id="1" xr3:uid="{DD566585-2259-408F-9FD7-5D81C26C8C6E}" name="Detalle" totalsRowLabel="Total" dataDxfId="245" totalsRowDxfId="244"/>
    <tableColumn id="2" xr3:uid="{3102E91D-43C6-4667-B150-97CFEC2BA120}" name="Documento" dataDxfId="243" totalsRowDxfId="242"/>
    <tableColumn id="3" xr3:uid="{0ADBE507-66D1-4C96-B31A-ADBECDED9694}" name="Valor" totalsRowFunction="sum" dataDxfId="241" totalsRowDxfId="24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26:E28" insertRow="1" totalsRowCount="1" dataDxfId="239">
  <autoFilter ref="C26:E27" xr:uid="{5C21F3C4-7589-4672-8845-59B53D01622D}">
    <filterColumn colId="0" hiddenButton="1"/>
    <filterColumn colId="1" hiddenButton="1"/>
    <filterColumn colId="2" hiddenButton="1"/>
  </autoFilter>
  <tableColumns count="3">
    <tableColumn id="1" xr3:uid="{D75C6887-C7AE-4D72-8BD7-19DF0913AD59}" name="Detalle" totalsRowLabel="Total" dataDxfId="238" totalsRowDxfId="237"/>
    <tableColumn id="2" xr3:uid="{0A648ABE-BC4C-4B1E-ADFC-12B28549B905}" name="Documento" dataDxfId="236" totalsRowDxfId="235"/>
    <tableColumn id="3" xr3:uid="{CA039FE4-2EF5-4F40-90C3-B80CADA98B83}" name="Valor" totalsRowFunction="sum" dataDxfId="234" totalsRowDxfId="23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32:E34" insertRow="1" totalsRowCount="1" dataDxfId="232">
  <autoFilter ref="C32:E33" xr:uid="{D6056277-944D-4C92-8136-F954EE7A7CE2}">
    <filterColumn colId="0" hiddenButton="1"/>
    <filterColumn colId="1" hiddenButton="1"/>
    <filterColumn colId="2" hiddenButton="1"/>
  </autoFilter>
  <tableColumns count="3">
    <tableColumn id="1" xr3:uid="{F4DEFB55-51B2-48CE-A6CD-BC047CFAD140}" name="Detalle" totalsRowLabel="Total" dataDxfId="231" totalsRowDxfId="230"/>
    <tableColumn id="2" xr3:uid="{D1C80000-E34C-48FA-BDAE-3D7C10910D33}" name="Documento" dataDxfId="229" totalsRowDxfId="228"/>
    <tableColumn id="3" xr3:uid="{BA986B08-9E76-45FD-B093-F9255E76D4C4}" name="Valor" totalsRowFunction="sum" dataDxfId="227" totalsRowDxfId="22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38:E40" insertRow="1" totalsRowCount="1" dataDxfId="225">
  <autoFilter ref="C38:E39" xr:uid="{27566FA4-5F07-454C-A019-7FC88CA3A5D2}">
    <filterColumn colId="0" hiddenButton="1"/>
    <filterColumn colId="1" hiddenButton="1"/>
    <filterColumn colId="2" hiddenButton="1"/>
  </autoFilter>
  <tableColumns count="3">
    <tableColumn id="1" xr3:uid="{E1928639-B695-43D6-B91E-BA42B3B42810}" name="Detalle" totalsRowLabel="Total" dataDxfId="224" totalsRowDxfId="223"/>
    <tableColumn id="2" xr3:uid="{BE48C6ED-858E-4A4A-B997-30DB01762594}" name="Documento" dataDxfId="222" totalsRowDxfId="221"/>
    <tableColumn id="3" xr3:uid="{A147792C-0F10-4874-87AC-88DA85A964CA}" name="Valor" totalsRowFunction="sum" dataDxfId="220" totalsRowDxfId="21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44:E46" insertRow="1" totalsRowCount="1" dataDxfId="218">
  <autoFilter ref="C44:E45" xr:uid="{760F32F1-10D9-4FB1-AEEA-06ADF4B3CDA0}">
    <filterColumn colId="0" hiddenButton="1"/>
    <filterColumn colId="1" hiddenButton="1"/>
    <filterColumn colId="2" hiddenButton="1"/>
  </autoFilter>
  <tableColumns count="3">
    <tableColumn id="1" xr3:uid="{8D51FF7E-96AF-447E-90B2-A564E51DDB02}" name="Detalle" totalsRowLabel="Total" dataDxfId="217" totalsRowDxfId="216"/>
    <tableColumn id="2" xr3:uid="{1DD5A06D-F8B3-422E-9DF5-5F401BA772E0}" name="Documento" dataDxfId="215" totalsRowDxfId="214"/>
    <tableColumn id="3" xr3:uid="{A905D5C3-C712-4BC1-B850-7FAC5FCC9ECC}" name="Valor" totalsRowFunction="sum" dataDxfId="213" totalsRowDxfId="21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50:E52" insertRow="1" totalsRowCount="1" dataCellStyle="Normal">
  <autoFilter ref="C50:E51" xr:uid="{443BEC5D-9007-4570-9289-91C80A0BA314}">
    <filterColumn colId="0" hiddenButton="1"/>
    <filterColumn colId="1" hiddenButton="1"/>
    <filterColumn colId="2" hiddenButton="1"/>
  </autoFilter>
  <tableColumns count="3">
    <tableColumn id="1" xr3:uid="{7F737550-9676-4940-86F0-74E1383D774F}" name="Detalle" totalsRowLabel="Total" totalsRowDxfId="211" dataCellStyle="Normal"/>
    <tableColumn id="2" xr3:uid="{BB6AA3CF-2F58-4ED7-B754-9A6CD234B560}" name="Documento" totalsRowDxfId="210" dataCellStyle="Normal"/>
    <tableColumn id="3" xr3:uid="{18F21E44-BC5B-484E-B824-3397BD3C0C5C}" name="Valor" totalsRowFunction="sum" dataDxfId="209" totalsRowDxfId="208" dataCellStyle="Normal"/>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56:E58" insertRow="1" totalsRowCount="1" dataCellStyle="Normal">
  <autoFilter ref="C56:E57"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207" dataCellStyle="Normal"/>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16" insertRow="1" totalsRowCount="1">
  <autoFilter ref="G14:I15"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206" totalsRowDxfId="20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0:I22" insertRow="1" totalsRowCount="1">
  <autoFilter ref="G20:I21"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204" totalsRowDxfId="20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26:I28" insertRow="1" totalsRowCount="1">
  <autoFilter ref="G26:I27"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202" totalsRowDxfId="20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32:I34" insertRow="1" totalsRowCount="1">
  <autoFilter ref="G32:I33"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200" totalsRowDxfId="19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38:I40" insertRow="1" totalsRowCount="1">
  <autoFilter ref="G38:I39"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98" totalsRowDxfId="19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44:I46" insertRow="1" totalsRowCount="1">
  <autoFilter ref="G44:I45"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96" totalsRowDxfId="19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50:I52" insertRow="1" totalsRowCount="1">
  <autoFilter ref="G50:I51"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94" totalsRowDxfId="193"/>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56:I58" insertRow="1" totalsRowCount="1">
  <autoFilter ref="G56:I57"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92" totalsRowDxfId="19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90" totalsRowDxfId="189"/>
    <tableColumn id="4" xr3:uid="{DAAE6A04-7E86-4107-A73E-A49084C37A77}" name="Haber" totalsRowFunction="sum" dataDxfId="188" totalsRowDxfId="187"/>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86" totalsRowDxfId="185"/>
    <tableColumn id="4" xr3:uid="{243B575A-4E5E-49F1-B633-301542AB5732}" name="Haber" totalsRowFunction="sum" dataDxfId="184" totalsRowDxfId="18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82" totalsRowDxfId="181"/>
    <tableColumn id="4" xr3:uid="{9C5E7894-3679-4E30-B50C-35BA7674C168}" name="Haber" totalsRowFunction="sum" dataDxfId="180" totalsRowDxfId="179"/>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78" totalsRowDxfId="177"/>
    <tableColumn id="4" xr3:uid="{14CFE248-F059-4F52-91F7-965B105085AF}" name="Haber" totalsRowFunction="sum" dataDxfId="176" totalsRowDxfId="17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74" totalsRowDxfId="173"/>
    <tableColumn id="4" xr3:uid="{4B130E2A-F81A-4B12-841F-384CD4E4E208}" name="Haber" totalsRowFunction="sum" dataDxfId="172" totalsRowDxfId="17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70" totalsRowDxfId="169"/>
    <tableColumn id="4" xr3:uid="{ED2E782F-97BB-478A-B192-D6C97AFE2049}" name="Haber" totalsRowFunction="sum" dataDxfId="168" totalsRowDxfId="16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66" totalsRowDxfId="165">
      <calculatedColumnFormula>E127+E128</calculatedColumnFormula>
    </tableColumn>
    <tableColumn id="4" xr3:uid="{2D241872-0B21-4220-BB55-8FA9CF3BDEBC}" name="Haber" totalsRowFunction="sum" dataDxfId="164" totalsRowDxfId="16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62" totalsRowDxfId="161"/>
    <tableColumn id="3" xr3:uid="{C8DA64B3-5A04-483E-B3FF-526DA72EAF4B}" name="Interes" totalsRowFunction="sum" dataDxfId="160" totalsRowDxfId="159"/>
    <tableColumn id="4" xr3:uid="{6D8EBC55-606C-4284-AA47-2B69DB2011FF}" name="Cuota" totalsRowFunction="sum" dataDxfId="158" totalsRowDxfId="157"/>
    <tableColumn id="5" xr3:uid="{58AC5A18-A329-4A3B-8EE4-4A12D7577EDA}" name="Saldo" totalsRowFunction="sum" totalsRowDxfId="15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55" totalsRowDxfId="154"/>
    <tableColumn id="4" xr3:uid="{4677B9FA-A42C-414A-8717-B780F3E27FA4}" name="Haber" totalsRowFunction="sum" dataDxfId="153" totalsRowDxfId="15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51" totalsRowDxfId="150"/>
    <tableColumn id="4" xr3:uid="{89FE12DA-22B1-45E4-94D6-3A6C8991A523}" name="Haber" totalsRowFunction="sum" dataDxfId="149" totalsRowDxfId="14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47" totalsRowDxfId="146"/>
    <tableColumn id="4" xr3:uid="{412DFE33-BC60-49EE-8850-5497528DFF88}" name="Haber" totalsRowFunction="sum" dataDxfId="145" totalsRowDxfId="14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43" totalsRowDxfId="142"/>
    <tableColumn id="4" xr3:uid="{F75BD319-D3E6-4DF6-894C-F4497FF0B20C}" name="Haber" totalsRowFunction="sum" dataDxfId="141" totalsRowDxfId="14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139" totalsRowDxfId="138"/>
    <tableColumn id="4" xr3:uid="{FE11E439-C1D8-416C-AAC7-B0ECD68C978C}" name="Haber" totalsRowFunction="sum" dataDxfId="137" totalsRowDxfId="136"/>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135" totalsRowDxfId="134"/>
    <tableColumn id="4" xr3:uid="{37160474-1F6C-4D02-91D8-18CBB9047285}" name="Haber" totalsRowFunction="sum" dataDxfId="133" totalsRowDxfId="13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131" totalsRowDxfId="130"/>
    <tableColumn id="4" xr3:uid="{5A2650BB-019B-4084-850D-DD5AFE3BE50E}" name="Haber" totalsRowFunction="sum" dataDxfId="129" totalsRowDxfId="128"/>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127" totalsRowDxfId="126"/>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125" totalsRowDxfId="124"/>
    <tableColumn id="3" xr3:uid="{FF418158-48A0-43C9-B333-E877554673EC}" name="Interes" totalsRowFunction="sum" dataDxfId="123" totalsRowDxfId="122"/>
    <tableColumn id="4" xr3:uid="{3384BC44-21A8-4BD8-9235-D612F8E58F5D}" name="Cuota" totalsRowFunction="sum" dataDxfId="121" totalsRowDxfId="120"/>
    <tableColumn id="5" xr3:uid="{D47F5177-F0FC-4100-851B-893D901D5AC7}" name="Saldo" totalsRowFunction="count" dataDxfId="119"/>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118" totalsRowDxfId="117"/>
    <tableColumn id="4" xr3:uid="{E1D0EE40-D208-42A4-A3C6-CBF48856703D}" name="Haber" totalsRowFunction="sum" dataDxfId="116" totalsRowDxfId="115"/>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114" totalsRowDxfId="113"/>
    <tableColumn id="4" xr3:uid="{1BBE9969-3F6D-4468-B5ED-EE6C44EE6216}" name="Haber" totalsRowFunction="sum" dataDxfId="112" totalsRowDxfId="111"/>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110" totalsRowDxfId="109"/>
    <tableColumn id="4" xr3:uid="{1CE844E5-37E1-4E88-958F-F8317F23B841}" name="Haber" totalsRowFunction="sum" dataDxfId="108" totalsRowDxfId="107"/>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106" totalsRowDxfId="105"/>
    <tableColumn id="4" xr3:uid="{475B5169-A884-44F4-88DF-29BB8346B501}" name="Haber" totalsRowFunction="sum" dataDxfId="104" totalsRowDxfId="103"/>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102" totalsRowDxfId="101"/>
    <tableColumn id="4" xr3:uid="{A06346F3-32B7-45B6-940E-825880D575AC}" name="Haber" totalsRowFunction="sum" dataDxfId="100" totalsRowDxfId="99"/>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98" totalsRowDxfId="97"/>
    <tableColumn id="4" xr3:uid="{3B1B6FAD-8788-4BFC-91C7-9C5104CFA460}" name="Haber" totalsRowFunction="sum" dataDxfId="96" totalsRowDxfId="95"/>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94" totalsRowDxfId="93"/>
    <tableColumn id="4" xr3:uid="{10A5FECF-918D-44D3-A251-232FAAB294D0}" name="Haber" totalsRowFunction="sum" dataDxfId="92" totalsRowDxfId="91"/>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90" totalsRowDxfId="89"/>
    <tableColumn id="4" xr3:uid="{3A77BED6-6AD7-4A18-AEA4-DC6004FAEAA0}" name="Haber" totalsRowFunction="sum" dataDxfId="88" totalsRowDxfId="87"/>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86" totalsRowDxfId="85"/>
    <tableColumn id="4" xr3:uid="{DE6B35A3-0EF1-499D-AC60-9B136AB3CAC4}" name="Haber" totalsRowFunction="sum" dataDxfId="84" totalsRowDxfId="83"/>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82" totalsRowDxfId="81"/>
    <tableColumn id="4" xr3:uid="{91EF7913-698E-4DCD-BECE-A14669A9855E}" name="Haber" totalsRowFunction="sum" dataDxfId="80" totalsRowDxfId="79"/>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78" dataDxfId="76" headerRowBorderDxfId="77" tableBorderDxfId="75" totalsRowBorderDxfId="74" headerRowCellStyle="Normal_Hoja1" dataCellStyle="Normal_Hoja1">
  <autoFilter ref="A1:B2473" xr:uid="{84F4EBC0-8A41-414B-83A3-EED00469B752}"/>
  <tableColumns count="2">
    <tableColumn id="1" xr3:uid="{37DE6704-8DB2-47A7-9BCD-1A097FAFA87B}" name="Codigo" dataDxfId="73" dataCellStyle="Normal_Hoja1"/>
    <tableColumn id="2" xr3:uid="{898CFDA3-DCFE-4321-A705-0E574E55217B}" name="Nombre" dataDxfId="72"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mailto:sugarBubble@g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7.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4.xml"/><Relationship Id="rId13" Type="http://schemas.openxmlformats.org/officeDocument/2006/relationships/table" Target="../tables/table19.xml"/><Relationship Id="rId18" Type="http://schemas.openxmlformats.org/officeDocument/2006/relationships/table" Target="../tables/table24.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 Type="http://schemas.openxmlformats.org/officeDocument/2006/relationships/drawing" Target="../drawings/drawing6.xml"/><Relationship Id="rId16" Type="http://schemas.openxmlformats.org/officeDocument/2006/relationships/table" Target="../tables/table22.xml"/><Relationship Id="rId1" Type="http://schemas.openxmlformats.org/officeDocument/2006/relationships/printerSettings" Target="../printerSettings/printerSettings6.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5" Type="http://schemas.openxmlformats.org/officeDocument/2006/relationships/table" Target="../tables/table21.xml"/><Relationship Id="rId10" Type="http://schemas.openxmlformats.org/officeDocument/2006/relationships/table" Target="../tables/table16.xml"/><Relationship Id="rId19" Type="http://schemas.openxmlformats.org/officeDocument/2006/relationships/table" Target="../tables/table25.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39.xml"/><Relationship Id="rId13" Type="http://schemas.openxmlformats.org/officeDocument/2006/relationships/table" Target="../tables/table44.xml"/><Relationship Id="rId18" Type="http://schemas.openxmlformats.org/officeDocument/2006/relationships/table" Target="../tables/table49.xml"/><Relationship Id="rId3" Type="http://schemas.openxmlformats.org/officeDocument/2006/relationships/table" Target="../tables/table34.xml"/><Relationship Id="rId7" Type="http://schemas.openxmlformats.org/officeDocument/2006/relationships/table" Target="../tables/table38.xml"/><Relationship Id="rId12" Type="http://schemas.openxmlformats.org/officeDocument/2006/relationships/table" Target="../tables/table43.xml"/><Relationship Id="rId17" Type="http://schemas.openxmlformats.org/officeDocument/2006/relationships/table" Target="../tables/table48.xml"/><Relationship Id="rId2" Type="http://schemas.openxmlformats.org/officeDocument/2006/relationships/drawing" Target="../drawings/drawing13.xml"/><Relationship Id="rId16" Type="http://schemas.openxmlformats.org/officeDocument/2006/relationships/table" Target="../tables/table47.xml"/><Relationship Id="rId1" Type="http://schemas.openxmlformats.org/officeDocument/2006/relationships/printerSettings" Target="../printerSettings/printerSettings10.bin"/><Relationship Id="rId6" Type="http://schemas.openxmlformats.org/officeDocument/2006/relationships/table" Target="../tables/table37.xml"/><Relationship Id="rId11" Type="http://schemas.openxmlformats.org/officeDocument/2006/relationships/table" Target="../tables/table42.xml"/><Relationship Id="rId5" Type="http://schemas.openxmlformats.org/officeDocument/2006/relationships/table" Target="../tables/table36.xml"/><Relationship Id="rId15" Type="http://schemas.openxmlformats.org/officeDocument/2006/relationships/table" Target="../tables/table46.xml"/><Relationship Id="rId10" Type="http://schemas.openxmlformats.org/officeDocument/2006/relationships/table" Target="../tables/table41.xml"/><Relationship Id="rId19" Type="http://schemas.openxmlformats.org/officeDocument/2006/relationships/table" Target="../tables/table50.xml"/><Relationship Id="rId4" Type="http://schemas.openxmlformats.org/officeDocument/2006/relationships/table" Target="../tables/table35.xml"/><Relationship Id="rId9" Type="http://schemas.openxmlformats.org/officeDocument/2006/relationships/table" Target="../tables/table40.xml"/><Relationship Id="rId14" Type="http://schemas.openxmlformats.org/officeDocument/2006/relationships/table" Target="../tables/table45.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56.xml"/><Relationship Id="rId13" Type="http://schemas.openxmlformats.org/officeDocument/2006/relationships/table" Target="../tables/table61.xml"/><Relationship Id="rId18" Type="http://schemas.openxmlformats.org/officeDocument/2006/relationships/table" Target="../tables/table66.xml"/><Relationship Id="rId26" Type="http://schemas.openxmlformats.org/officeDocument/2006/relationships/table" Target="../tables/table74.xml"/><Relationship Id="rId3" Type="http://schemas.openxmlformats.org/officeDocument/2006/relationships/table" Target="../tables/table51.xml"/><Relationship Id="rId21" Type="http://schemas.openxmlformats.org/officeDocument/2006/relationships/table" Target="../tables/table69.xml"/><Relationship Id="rId7" Type="http://schemas.openxmlformats.org/officeDocument/2006/relationships/table" Target="../tables/table55.xml"/><Relationship Id="rId12" Type="http://schemas.openxmlformats.org/officeDocument/2006/relationships/table" Target="../tables/table60.xml"/><Relationship Id="rId17" Type="http://schemas.openxmlformats.org/officeDocument/2006/relationships/table" Target="../tables/table65.xml"/><Relationship Id="rId25" Type="http://schemas.openxmlformats.org/officeDocument/2006/relationships/table" Target="../tables/table73.xml"/><Relationship Id="rId2" Type="http://schemas.openxmlformats.org/officeDocument/2006/relationships/drawing" Target="../drawings/drawing14.xml"/><Relationship Id="rId16" Type="http://schemas.openxmlformats.org/officeDocument/2006/relationships/table" Target="../tables/table64.xml"/><Relationship Id="rId20" Type="http://schemas.openxmlformats.org/officeDocument/2006/relationships/table" Target="../tables/table68.xml"/><Relationship Id="rId29" Type="http://schemas.openxmlformats.org/officeDocument/2006/relationships/table" Target="../tables/table77.xml"/><Relationship Id="rId1" Type="http://schemas.openxmlformats.org/officeDocument/2006/relationships/printerSettings" Target="../printerSettings/printerSettings11.bin"/><Relationship Id="rId6" Type="http://schemas.openxmlformats.org/officeDocument/2006/relationships/table" Target="../tables/table54.xml"/><Relationship Id="rId11" Type="http://schemas.openxmlformats.org/officeDocument/2006/relationships/table" Target="../tables/table59.xml"/><Relationship Id="rId24" Type="http://schemas.openxmlformats.org/officeDocument/2006/relationships/table" Target="../tables/table72.xml"/><Relationship Id="rId32" Type="http://schemas.openxmlformats.org/officeDocument/2006/relationships/table" Target="../tables/table80.xml"/><Relationship Id="rId5" Type="http://schemas.openxmlformats.org/officeDocument/2006/relationships/table" Target="../tables/table53.xml"/><Relationship Id="rId15" Type="http://schemas.openxmlformats.org/officeDocument/2006/relationships/table" Target="../tables/table63.xml"/><Relationship Id="rId23" Type="http://schemas.openxmlformats.org/officeDocument/2006/relationships/table" Target="../tables/table71.xml"/><Relationship Id="rId28" Type="http://schemas.openxmlformats.org/officeDocument/2006/relationships/table" Target="../tables/table76.xml"/><Relationship Id="rId10" Type="http://schemas.openxmlformats.org/officeDocument/2006/relationships/table" Target="../tables/table58.xml"/><Relationship Id="rId19" Type="http://schemas.openxmlformats.org/officeDocument/2006/relationships/table" Target="../tables/table67.xml"/><Relationship Id="rId31" Type="http://schemas.openxmlformats.org/officeDocument/2006/relationships/table" Target="../tables/table79.xml"/><Relationship Id="rId4" Type="http://schemas.openxmlformats.org/officeDocument/2006/relationships/table" Target="../tables/table52.xml"/><Relationship Id="rId9" Type="http://schemas.openxmlformats.org/officeDocument/2006/relationships/table" Target="../tables/table57.xml"/><Relationship Id="rId14" Type="http://schemas.openxmlformats.org/officeDocument/2006/relationships/table" Target="../tables/table62.xml"/><Relationship Id="rId22" Type="http://schemas.openxmlformats.org/officeDocument/2006/relationships/table" Target="../tables/table70.xml"/><Relationship Id="rId27" Type="http://schemas.openxmlformats.org/officeDocument/2006/relationships/table" Target="../tables/table75.xml"/><Relationship Id="rId30" Type="http://schemas.openxmlformats.org/officeDocument/2006/relationships/table" Target="../tables/table78.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30" workbookViewId="0">
      <selection activeCell="M37" sqref="M37"/>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8"/>
  <sheetViews>
    <sheetView tabSelected="1" topLeftCell="A9" zoomScaleNormal="100" workbookViewId="0">
      <selection activeCell="F17" sqref="F17"/>
    </sheetView>
  </sheetViews>
  <sheetFormatPr baseColWidth="10" defaultRowHeight="15" x14ac:dyDescent="0.25"/>
  <cols>
    <col min="1" max="1" width="12.85546875" bestFit="1" customWidth="1"/>
    <col min="2" max="2" width="23.28515625" bestFit="1"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1" t="s">
        <v>3787</v>
      </c>
      <c r="D1" s="61"/>
      <c r="E1" s="61"/>
      <c r="F1" s="61"/>
      <c r="G1" s="61"/>
      <c r="H1" s="61"/>
      <c r="I1" s="61"/>
    </row>
    <row r="2" spans="1:9" ht="20.25" x14ac:dyDescent="0.3">
      <c r="C2" s="62" t="s">
        <v>3726</v>
      </c>
      <c r="D2" s="62"/>
      <c r="E2" s="63" t="s">
        <v>3732</v>
      </c>
      <c r="F2" s="64"/>
      <c r="G2" s="64"/>
      <c r="H2" s="64"/>
      <c r="I2" s="64"/>
    </row>
    <row r="3" spans="1:9" ht="20.25" x14ac:dyDescent="0.3">
      <c r="C3" s="62" t="s">
        <v>3728</v>
      </c>
      <c r="D3" s="62"/>
      <c r="E3" s="65">
        <v>900235498</v>
      </c>
      <c r="F3" s="66"/>
      <c r="G3" s="66"/>
      <c r="H3" s="66"/>
      <c r="I3" s="66"/>
    </row>
    <row r="4" spans="1:9" ht="20.25" x14ac:dyDescent="0.3">
      <c r="C4" s="62" t="s">
        <v>3729</v>
      </c>
      <c r="D4" s="62"/>
      <c r="E4" s="65" t="s">
        <v>3734</v>
      </c>
      <c r="F4" s="66"/>
      <c r="G4" s="66"/>
      <c r="H4" s="66"/>
      <c r="I4" s="66"/>
    </row>
    <row r="5" spans="1:9" ht="20.25" x14ac:dyDescent="0.3">
      <c r="C5" s="62" t="s">
        <v>3730</v>
      </c>
      <c r="D5" s="62"/>
      <c r="E5" s="65" t="s">
        <v>3733</v>
      </c>
      <c r="F5" s="66"/>
      <c r="G5" s="66"/>
      <c r="H5" s="66"/>
      <c r="I5" s="66"/>
    </row>
    <row r="6" spans="1:9" ht="20.25" x14ac:dyDescent="0.3">
      <c r="C6" s="62" t="s">
        <v>3788</v>
      </c>
      <c r="D6" s="62"/>
      <c r="E6" s="65" t="s">
        <v>3735</v>
      </c>
      <c r="F6" s="66"/>
      <c r="G6" s="66"/>
      <c r="H6" s="66"/>
      <c r="I6" s="66"/>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A16" t="s">
        <v>3815</v>
      </c>
      <c r="B16" t="s">
        <v>3816</v>
      </c>
      <c r="C16" s="4">
        <v>1800</v>
      </c>
      <c r="D16" s="12">
        <v>100</v>
      </c>
      <c r="E16" s="4">
        <v>0</v>
      </c>
      <c r="F16" s="4" t="s">
        <v>4160</v>
      </c>
      <c r="G16" s="4">
        <v>0</v>
      </c>
    </row>
    <row r="17" spans="1:7" x14ac:dyDescent="0.25">
      <c r="C17" s="4"/>
      <c r="D17" s="12"/>
      <c r="E17" s="4"/>
      <c r="F17" s="4"/>
      <c r="G17" s="4"/>
    </row>
    <row r="18" spans="1:7" x14ac:dyDescent="0.25">
      <c r="A18" t="s">
        <v>4</v>
      </c>
      <c r="C18" s="4">
        <f>SUBTOTAL(109,tbl_factura[Vr Unitario])</f>
        <v>55800</v>
      </c>
      <c r="D18" s="12">
        <f>SUBTOTAL(109,tbl_factura[Cantidad])</f>
        <v>215</v>
      </c>
      <c r="E18" s="4">
        <f>SUBTOTAL(109,tbl_factura[Dcto.])</f>
        <v>0</v>
      </c>
      <c r="F18" s="4">
        <f>SUBTOTAL(109,tbl_factura[IVA %])</f>
        <v>589950</v>
      </c>
      <c r="G18" s="4">
        <f>SUBTOTAL(109,tbl_factura[Valor total])</f>
        <v>3694950</v>
      </c>
    </row>
    <row r="21" spans="1:7" x14ac:dyDescent="0.25">
      <c r="A21" s="21" t="s">
        <v>3803</v>
      </c>
    </row>
    <row r="22" spans="1:7" x14ac:dyDescent="0.25">
      <c r="A22" s="17" t="s">
        <v>3804</v>
      </c>
      <c r="B22" s="17" t="s">
        <v>3809</v>
      </c>
      <c r="D22" s="17" t="s">
        <v>3806</v>
      </c>
    </row>
    <row r="23" spans="1:7" x14ac:dyDescent="0.25">
      <c r="D23" s="17" t="s">
        <v>3807</v>
      </c>
    </row>
    <row r="24" spans="1:7" x14ac:dyDescent="0.25">
      <c r="D24" s="17" t="s">
        <v>3805</v>
      </c>
    </row>
    <row r="25" spans="1:7" x14ac:dyDescent="0.25">
      <c r="D25" s="17" t="s">
        <v>3808</v>
      </c>
    </row>
    <row r="26" spans="1:7" x14ac:dyDescent="0.25">
      <c r="D26" s="17" t="s">
        <v>3810</v>
      </c>
    </row>
    <row r="28" spans="1:7" x14ac:dyDescent="0.25">
      <c r="A28" s="17" t="s">
        <v>3811</v>
      </c>
    </row>
  </sheetData>
  <mergeCells count="11">
    <mergeCell ref="C5:D5"/>
    <mergeCell ref="E5:I5"/>
    <mergeCell ref="C6:D6"/>
    <mergeCell ref="E6:I6"/>
    <mergeCell ref="C4:D4"/>
    <mergeCell ref="E4:I4"/>
    <mergeCell ref="C1:I1"/>
    <mergeCell ref="C2:D2"/>
    <mergeCell ref="E2:I2"/>
    <mergeCell ref="C3:D3"/>
    <mergeCell ref="E3:I3"/>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AC22D-7F43-4B16-93E5-8941D01C279B}">
  <sheetPr codeName="Hoja17">
    <tabColor rgb="FF7AC77F"/>
  </sheetPr>
  <dimension ref="C1:P11"/>
  <sheetViews>
    <sheetView topLeftCell="A7" workbookViewId="0">
      <selection activeCell="E16" sqref="E16"/>
    </sheetView>
  </sheetViews>
  <sheetFormatPr baseColWidth="10" defaultRowHeight="15" x14ac:dyDescent="0.25"/>
  <cols>
    <col min="3" max="3" width="13.85546875" customWidth="1"/>
    <col min="5" max="5" width="12.85546875" customWidth="1"/>
    <col min="8" max="8" width="12.5703125" customWidth="1"/>
    <col min="9" max="9" width="14.28515625" customWidth="1"/>
  </cols>
  <sheetData>
    <row r="1" spans="3:16" ht="26.25" x14ac:dyDescent="0.4">
      <c r="C1" s="61" t="s">
        <v>4162</v>
      </c>
      <c r="D1" s="61"/>
      <c r="E1" s="61"/>
      <c r="F1" s="61"/>
      <c r="G1" s="61"/>
      <c r="H1" s="61"/>
      <c r="I1" s="61"/>
      <c r="J1" s="61" t="s">
        <v>4161</v>
      </c>
      <c r="K1" s="61"/>
      <c r="L1" s="61"/>
      <c r="M1" s="61"/>
      <c r="N1" s="61"/>
      <c r="O1" s="61"/>
      <c r="P1" s="61"/>
    </row>
    <row r="2" spans="3:16" ht="20.25" x14ac:dyDescent="0.3">
      <c r="C2" s="62" t="s">
        <v>3726</v>
      </c>
      <c r="D2" s="62"/>
      <c r="E2" s="63" t="s">
        <v>3732</v>
      </c>
      <c r="F2" s="64"/>
      <c r="G2" s="64"/>
      <c r="H2" s="64"/>
      <c r="I2" s="64"/>
      <c r="J2" s="62" t="s">
        <v>3726</v>
      </c>
      <c r="K2" s="62"/>
      <c r="L2" s="63"/>
      <c r="M2" s="64"/>
      <c r="N2" s="64"/>
      <c r="O2" s="64"/>
      <c r="P2" s="64"/>
    </row>
    <row r="3" spans="3:16" ht="20.25" x14ac:dyDescent="0.3">
      <c r="C3" s="62" t="s">
        <v>3728</v>
      </c>
      <c r="D3" s="62"/>
      <c r="E3" s="65">
        <v>900235498</v>
      </c>
      <c r="F3" s="66"/>
      <c r="G3" s="66"/>
      <c r="H3" s="66"/>
      <c r="I3" s="66"/>
      <c r="J3" s="62" t="s">
        <v>3728</v>
      </c>
      <c r="K3" s="62"/>
      <c r="L3" s="65"/>
      <c r="M3" s="66"/>
      <c r="N3" s="66"/>
      <c r="O3" s="66"/>
      <c r="P3" s="66"/>
    </row>
    <row r="4" spans="3:16" ht="20.25" x14ac:dyDescent="0.3">
      <c r="C4" s="62" t="s">
        <v>3729</v>
      </c>
      <c r="D4" s="62"/>
      <c r="E4" s="65" t="s">
        <v>3734</v>
      </c>
      <c r="F4" s="66"/>
      <c r="G4" s="66"/>
      <c r="H4" s="66"/>
      <c r="I4" s="66"/>
      <c r="J4" s="62" t="s">
        <v>3729</v>
      </c>
      <c r="K4" s="62"/>
      <c r="L4" s="65"/>
      <c r="M4" s="66"/>
      <c r="N4" s="66"/>
      <c r="O4" s="66"/>
      <c r="P4" s="66"/>
    </row>
    <row r="5" spans="3:16" ht="20.25" x14ac:dyDescent="0.3">
      <c r="C5" s="62" t="s">
        <v>3795</v>
      </c>
      <c r="D5" s="62"/>
      <c r="E5" s="65">
        <v>3105143063</v>
      </c>
      <c r="F5" s="66"/>
      <c r="G5" s="66"/>
      <c r="H5" s="66"/>
      <c r="I5" s="66"/>
      <c r="J5" s="62" t="s">
        <v>3795</v>
      </c>
      <c r="K5" s="62"/>
      <c r="L5" s="65"/>
      <c r="M5" s="66"/>
      <c r="N5" s="66"/>
      <c r="O5" s="66"/>
      <c r="P5" s="66"/>
    </row>
    <row r="6" spans="3:16" ht="20.25" x14ac:dyDescent="0.3">
      <c r="C6" s="62" t="s">
        <v>4163</v>
      </c>
      <c r="D6" s="62"/>
      <c r="E6" s="91" t="s">
        <v>4165</v>
      </c>
      <c r="F6" s="66"/>
      <c r="G6" s="66"/>
      <c r="H6" s="66"/>
      <c r="I6" s="66"/>
      <c r="J6" s="62" t="s">
        <v>4164</v>
      </c>
      <c r="K6" s="62"/>
      <c r="L6" s="65"/>
      <c r="M6" s="66"/>
      <c r="N6" s="66"/>
      <c r="O6" s="66"/>
      <c r="P6" s="66"/>
    </row>
    <row r="9" spans="3:16" ht="20.25" x14ac:dyDescent="0.3">
      <c r="C9" s="92" t="s">
        <v>4166</v>
      </c>
      <c r="D9" s="92"/>
      <c r="F9" s="62" t="s">
        <v>4167</v>
      </c>
      <c r="G9" s="62"/>
    </row>
    <row r="11" spans="3:16" x14ac:dyDescent="0.25">
      <c r="C11" t="s">
        <v>4168</v>
      </c>
      <c r="D11" t="s">
        <v>3778</v>
      </c>
      <c r="E11" t="s">
        <v>3800</v>
      </c>
      <c r="F11" t="s">
        <v>4169</v>
      </c>
      <c r="G11" t="s">
        <v>3724</v>
      </c>
      <c r="H11" t="s">
        <v>4170</v>
      </c>
      <c r="I11" t="s">
        <v>4171</v>
      </c>
    </row>
  </sheetData>
  <mergeCells count="24">
    <mergeCell ref="L4:P4"/>
    <mergeCell ref="J5:K5"/>
    <mergeCell ref="L5:P5"/>
    <mergeCell ref="J6:K6"/>
    <mergeCell ref="L6:P6"/>
    <mergeCell ref="C9:D9"/>
    <mergeCell ref="F9:G9"/>
    <mergeCell ref="C5:D5"/>
    <mergeCell ref="E5:I5"/>
    <mergeCell ref="C6:D6"/>
    <mergeCell ref="E6:I6"/>
    <mergeCell ref="J1:P1"/>
    <mergeCell ref="J2:K2"/>
    <mergeCell ref="L2:P2"/>
    <mergeCell ref="J3:K3"/>
    <mergeCell ref="L3:P3"/>
    <mergeCell ref="J4:K4"/>
    <mergeCell ref="C1:I1"/>
    <mergeCell ref="C2:D2"/>
    <mergeCell ref="E2:I2"/>
    <mergeCell ref="C3:D3"/>
    <mergeCell ref="E3:I3"/>
    <mergeCell ref="C4:D4"/>
    <mergeCell ref="E4:I4"/>
  </mergeCells>
  <hyperlinks>
    <hyperlink ref="E6" r:id="rId1" xr:uid="{EAF58FA6-68D6-44C0-9489-63FD419AA8C5}"/>
  </hyperlinks>
  <pageMargins left="0.7" right="0.7" top="0.75" bottom="0.75" header="0.3" footer="0.3"/>
  <pageSetup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68" t="s">
        <v>3787</v>
      </c>
      <c r="D1" s="68"/>
      <c r="E1" s="68"/>
      <c r="F1" s="68"/>
      <c r="G1" s="68"/>
      <c r="H1" s="68"/>
      <c r="I1" s="68"/>
    </row>
    <row r="2" spans="3:9" ht="20.25" x14ac:dyDescent="0.3">
      <c r="C2" s="67" t="s">
        <v>3726</v>
      </c>
      <c r="D2" s="67"/>
      <c r="E2" s="63" t="s">
        <v>3732</v>
      </c>
      <c r="F2" s="64"/>
      <c r="G2" s="64"/>
      <c r="H2" s="64"/>
      <c r="I2" s="64"/>
    </row>
    <row r="3" spans="3:9" ht="20.25" x14ac:dyDescent="0.3">
      <c r="C3" s="67" t="s">
        <v>3728</v>
      </c>
      <c r="D3" s="67"/>
      <c r="E3" s="65">
        <v>900235498</v>
      </c>
      <c r="F3" s="66"/>
      <c r="G3" s="66"/>
      <c r="H3" s="66"/>
      <c r="I3" s="66"/>
    </row>
    <row r="4" spans="3:9" ht="20.25" x14ac:dyDescent="0.3">
      <c r="C4" s="67" t="s">
        <v>3729</v>
      </c>
      <c r="D4" s="67"/>
      <c r="E4" s="65" t="s">
        <v>3734</v>
      </c>
      <c r="F4" s="66"/>
      <c r="G4" s="66"/>
      <c r="H4" s="66"/>
      <c r="I4" s="66"/>
    </row>
    <row r="5" spans="3:9" ht="20.25" x14ac:dyDescent="0.3">
      <c r="C5" s="67" t="s">
        <v>3730</v>
      </c>
      <c r="D5" s="67"/>
      <c r="E5" s="65" t="s">
        <v>3733</v>
      </c>
      <c r="F5" s="66"/>
      <c r="G5" s="66"/>
      <c r="H5" s="66"/>
      <c r="I5" s="66"/>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69" t="s">
        <v>3727</v>
      </c>
      <c r="C2" s="69"/>
      <c r="D2" s="69"/>
      <c r="E2" s="69"/>
      <c r="F2" s="69"/>
    </row>
    <row r="3" spans="2:6" ht="20.25" x14ac:dyDescent="0.3">
      <c r="B3" s="70" t="s">
        <v>3726</v>
      </c>
      <c r="C3" s="70"/>
      <c r="D3" s="66" t="s">
        <v>3732</v>
      </c>
      <c r="E3" s="66"/>
      <c r="F3" s="66"/>
    </row>
    <row r="4" spans="2:6" ht="20.25" x14ac:dyDescent="0.3">
      <c r="B4" s="70" t="s">
        <v>3728</v>
      </c>
      <c r="C4" s="70"/>
      <c r="D4" s="66">
        <v>900235498</v>
      </c>
      <c r="E4" s="66"/>
      <c r="F4" s="66"/>
    </row>
    <row r="5" spans="2:6" ht="20.25" x14ac:dyDescent="0.3">
      <c r="B5" s="70" t="s">
        <v>3729</v>
      </c>
      <c r="C5" s="70"/>
      <c r="D5" s="66" t="s">
        <v>3734</v>
      </c>
      <c r="E5" s="66"/>
      <c r="F5" s="66"/>
    </row>
    <row r="6" spans="2:6" ht="20.25" x14ac:dyDescent="0.3">
      <c r="B6" s="70" t="s">
        <v>3730</v>
      </c>
      <c r="C6" s="70"/>
      <c r="D6" s="66" t="s">
        <v>3733</v>
      </c>
      <c r="E6" s="66"/>
      <c r="F6" s="66"/>
    </row>
    <row r="7" spans="2:6" ht="20.25" x14ac:dyDescent="0.3">
      <c r="B7" s="70" t="s">
        <v>3731</v>
      </c>
      <c r="C7" s="70"/>
      <c r="D7" s="66" t="s">
        <v>3735</v>
      </c>
      <c r="E7" s="66"/>
      <c r="F7" s="66"/>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D7:F7"/>
    <mergeCell ref="B3:C3"/>
    <mergeCell ref="B4:C4"/>
    <mergeCell ref="B5:C5"/>
    <mergeCell ref="B6:C6"/>
    <mergeCell ref="B7:C7"/>
    <mergeCell ref="B2:F2"/>
    <mergeCell ref="D3:F3"/>
    <mergeCell ref="D4:F4"/>
    <mergeCell ref="D5:F5"/>
    <mergeCell ref="D6:F6"/>
  </mergeCells>
  <pageMargins left="0.7" right="0.7" top="0.75" bottom="0.75" header="0.3" footer="0.3"/>
  <pageSetup scale="82" orientation="portrait" horizontalDpi="1200" verticalDpi="1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68" t="s">
        <v>3784</v>
      </c>
      <c r="C2" s="68"/>
      <c r="D2" s="68"/>
      <c r="E2" s="68"/>
      <c r="F2" s="68"/>
      <c r="G2" s="68"/>
      <c r="H2" s="68"/>
      <c r="I2" s="68"/>
    </row>
    <row r="3" spans="2:9" ht="20.25" x14ac:dyDescent="0.3">
      <c r="B3" s="67" t="s">
        <v>3726</v>
      </c>
      <c r="C3" s="67"/>
      <c r="D3" s="72" t="s">
        <v>3732</v>
      </c>
      <c r="E3" s="72"/>
      <c r="F3" s="72"/>
      <c r="G3" s="72"/>
      <c r="H3" s="72"/>
      <c r="I3" s="72"/>
    </row>
    <row r="4" spans="2:9" ht="20.25" x14ac:dyDescent="0.3">
      <c r="B4" s="67" t="s">
        <v>3728</v>
      </c>
      <c r="C4" s="67"/>
      <c r="D4" s="72">
        <v>900235498</v>
      </c>
      <c r="E4" s="72"/>
      <c r="F4" s="72"/>
      <c r="G4" s="72"/>
      <c r="H4" s="72"/>
      <c r="I4" s="72"/>
    </row>
    <row r="5" spans="2:9" ht="20.25" x14ac:dyDescent="0.3">
      <c r="B5" s="67" t="s">
        <v>3729</v>
      </c>
      <c r="C5" s="67"/>
      <c r="D5" s="72" t="s">
        <v>3734</v>
      </c>
      <c r="E5" s="72"/>
      <c r="F5" s="72"/>
      <c r="G5" s="72"/>
      <c r="H5" s="72"/>
      <c r="I5" s="72"/>
    </row>
    <row r="6" spans="2:9" ht="20.25" x14ac:dyDescent="0.3">
      <c r="B6" s="67" t="s">
        <v>3730</v>
      </c>
      <c r="C6" s="67"/>
      <c r="D6" s="72" t="s">
        <v>3733</v>
      </c>
      <c r="E6" s="72"/>
      <c r="F6" s="72"/>
      <c r="G6" s="72"/>
      <c r="H6" s="72"/>
      <c r="I6" s="72"/>
    </row>
    <row r="7" spans="2:9" ht="20.25" x14ac:dyDescent="0.3">
      <c r="B7" s="67" t="s">
        <v>3731</v>
      </c>
      <c r="C7" s="67"/>
      <c r="D7" s="72" t="s">
        <v>3735</v>
      </c>
      <c r="E7" s="72"/>
      <c r="F7" s="72"/>
      <c r="G7" s="72"/>
      <c r="H7" s="72"/>
      <c r="I7" s="72"/>
    </row>
    <row r="9" spans="2:9" ht="20.25" x14ac:dyDescent="0.3">
      <c r="F9" s="67" t="s">
        <v>3774</v>
      </c>
      <c r="G9" s="67"/>
      <c r="H9" s="71">
        <v>1700000</v>
      </c>
      <c r="I9" s="71"/>
    </row>
    <row r="10" spans="2:9" ht="20.25" x14ac:dyDescent="0.3">
      <c r="F10" s="67" t="s">
        <v>3775</v>
      </c>
      <c r="G10" s="67"/>
      <c r="H10" s="71">
        <v>1529200</v>
      </c>
      <c r="I10" s="71"/>
    </row>
    <row r="11" spans="2:9" ht="20.25" x14ac:dyDescent="0.3">
      <c r="F11" s="67" t="s">
        <v>3776</v>
      </c>
      <c r="G11" s="67"/>
      <c r="H11" s="71">
        <v>1529200</v>
      </c>
      <c r="I11" s="71"/>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67" t="s">
        <v>3781</v>
      </c>
      <c r="C34" s="67"/>
      <c r="D34" s="67"/>
      <c r="F34" s="67" t="s">
        <v>3782</v>
      </c>
      <c r="G34" s="67"/>
      <c r="H34" s="67"/>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67" t="s">
        <v>3781</v>
      </c>
      <c r="C44" s="67"/>
      <c r="D44" s="67"/>
      <c r="E44" s="6">
        <v>143000</v>
      </c>
      <c r="F44" s="7"/>
    </row>
    <row r="45" spans="2:8" ht="20.25" x14ac:dyDescent="0.3">
      <c r="B45" s="67" t="s">
        <v>3782</v>
      </c>
      <c r="C45" s="67"/>
      <c r="D45" s="67"/>
      <c r="E45" s="6">
        <v>27800</v>
      </c>
      <c r="F45" s="7"/>
    </row>
    <row r="46" spans="2:8" ht="20.25" x14ac:dyDescent="0.3">
      <c r="B46" s="67" t="s">
        <v>3783</v>
      </c>
      <c r="C46" s="67"/>
      <c r="D46" s="67"/>
      <c r="E46" s="6">
        <v>170000</v>
      </c>
      <c r="F46" s="7"/>
    </row>
  </sheetData>
  <mergeCells count="22">
    <mergeCell ref="B6:C6"/>
    <mergeCell ref="B7:C7"/>
    <mergeCell ref="B2:I2"/>
    <mergeCell ref="D3:I3"/>
    <mergeCell ref="D4:I4"/>
    <mergeCell ref="D5:I5"/>
    <mergeCell ref="D6:I6"/>
    <mergeCell ref="D7:I7"/>
    <mergeCell ref="B3:C3"/>
    <mergeCell ref="B4:C4"/>
    <mergeCell ref="B5:C5"/>
    <mergeCell ref="F9:G9"/>
    <mergeCell ref="F10:G10"/>
    <mergeCell ref="F11:G11"/>
    <mergeCell ref="H9:I9"/>
    <mergeCell ref="H10:I10"/>
    <mergeCell ref="H11:I11"/>
    <mergeCell ref="B46:D46"/>
    <mergeCell ref="B34:D34"/>
    <mergeCell ref="F34:H34"/>
    <mergeCell ref="B44:D44"/>
    <mergeCell ref="B45:D4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zoomScaleNormal="100" workbookViewId="0">
      <selection activeCell="E10" sqref="E10"/>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68" t="s">
        <v>3785</v>
      </c>
      <c r="C1" s="68"/>
      <c r="D1" s="68"/>
      <c r="E1" s="68"/>
      <c r="F1" s="68"/>
      <c r="G1" s="8"/>
      <c r="H1" s="8"/>
      <c r="I1" s="8"/>
    </row>
    <row r="2" spans="2:9" ht="20.25" x14ac:dyDescent="0.3">
      <c r="B2" s="67" t="s">
        <v>3726</v>
      </c>
      <c r="C2" s="67"/>
      <c r="D2" s="72" t="s">
        <v>3732</v>
      </c>
      <c r="E2" s="72"/>
      <c r="F2" s="72"/>
      <c r="G2" s="9"/>
      <c r="H2" s="9"/>
      <c r="I2" s="9"/>
    </row>
    <row r="3" spans="2:9" ht="20.25" x14ac:dyDescent="0.3">
      <c r="B3" s="67" t="s">
        <v>3728</v>
      </c>
      <c r="C3" s="67"/>
      <c r="D3" s="72">
        <v>900235498</v>
      </c>
      <c r="E3" s="72"/>
      <c r="F3" s="72"/>
      <c r="G3" s="9"/>
      <c r="H3" s="9"/>
      <c r="I3" s="9"/>
    </row>
    <row r="4" spans="2:9" ht="20.25" x14ac:dyDescent="0.3">
      <c r="B4" s="67" t="s">
        <v>3729</v>
      </c>
      <c r="C4" s="67"/>
      <c r="D4" s="72" t="s">
        <v>3734</v>
      </c>
      <c r="E4" s="72"/>
      <c r="F4" s="72"/>
      <c r="G4" s="9"/>
      <c r="H4" s="9"/>
      <c r="I4" s="9"/>
    </row>
    <row r="5" spans="2:9" ht="20.25" x14ac:dyDescent="0.3">
      <c r="B5" s="67" t="s">
        <v>3730</v>
      </c>
      <c r="C5" s="67"/>
      <c r="D5" s="72" t="s">
        <v>3733</v>
      </c>
      <c r="E5" s="72"/>
      <c r="F5" s="72"/>
      <c r="G5" s="9"/>
      <c r="H5" s="9"/>
      <c r="I5" s="9"/>
    </row>
    <row r="6" spans="2:9" ht="20.25" x14ac:dyDescent="0.3">
      <c r="B6" s="67" t="s">
        <v>3731</v>
      </c>
      <c r="C6" s="67"/>
      <c r="D6" s="72" t="s">
        <v>3735</v>
      </c>
      <c r="E6" s="72"/>
      <c r="F6" s="72"/>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A3:M164"/>
  <sheetViews>
    <sheetView zoomScale="70" workbookViewId="0">
      <selection activeCell="H29" sqref="H29"/>
    </sheetView>
  </sheetViews>
  <sheetFormatPr baseColWidth="10" defaultRowHeight="15" x14ac:dyDescent="0.25"/>
  <cols>
    <col min="1" max="1" width="14.28515625" customWidth="1"/>
    <col min="2" max="2" width="48.85546875" bestFit="1" customWidth="1"/>
    <col min="3" max="4" width="14.7109375" customWidth="1"/>
    <col min="5" max="5" width="14.85546875" bestFit="1" customWidth="1"/>
    <col min="9" max="9" width="27.5703125" customWidth="1"/>
    <col min="10" max="10" width="52.42578125" bestFit="1" customWidth="1"/>
    <col min="11" max="11" width="32.140625" bestFit="1" customWidth="1"/>
    <col min="12" max="12" width="14.7109375" customWidth="1"/>
    <col min="13" max="14" width="48.28515625" bestFit="1" customWidth="1"/>
  </cols>
  <sheetData>
    <row r="3" spans="1:13" x14ac:dyDescent="0.25">
      <c r="I3" t="s">
        <v>3935</v>
      </c>
      <c r="J3" t="s">
        <v>3936</v>
      </c>
      <c r="K3" t="s">
        <v>3937</v>
      </c>
      <c r="L3" t="s">
        <v>3938</v>
      </c>
      <c r="M3" s="4" t="s">
        <v>3939</v>
      </c>
    </row>
    <row r="4" spans="1:13" x14ac:dyDescent="0.25">
      <c r="A4" t="s">
        <v>3716</v>
      </c>
      <c r="B4" t="s">
        <v>0</v>
      </c>
      <c r="C4" t="s">
        <v>1</v>
      </c>
      <c r="D4" s="4" t="s">
        <v>2</v>
      </c>
      <c r="E4" s="4" t="s">
        <v>3</v>
      </c>
      <c r="I4" t="s">
        <v>4057</v>
      </c>
      <c r="J4" t="s">
        <v>4058</v>
      </c>
      <c r="K4" t="s">
        <v>4059</v>
      </c>
      <c r="L4" t="s">
        <v>3962</v>
      </c>
      <c r="M4" s="4" t="s">
        <v>4062</v>
      </c>
    </row>
    <row r="5" spans="1:13" x14ac:dyDescent="0.25">
      <c r="D5" s="4"/>
      <c r="E5" s="4"/>
      <c r="I5" t="s">
        <v>4060</v>
      </c>
      <c r="J5" t="s">
        <v>4058</v>
      </c>
      <c r="K5" t="s">
        <v>4061</v>
      </c>
      <c r="L5" t="s">
        <v>3962</v>
      </c>
      <c r="M5" s="4" t="s">
        <v>4063</v>
      </c>
    </row>
    <row r="6" spans="1:13" x14ac:dyDescent="0.25">
      <c r="A6" t="s">
        <v>4</v>
      </c>
      <c r="D6" s="4">
        <f>SUBTOTAL(109,tbl_registro_mayor_1[Debe])</f>
        <v>0</v>
      </c>
      <c r="E6" s="4">
        <f>SUBTOTAL(109,tbl_registro_mayor_1[Haber])</f>
        <v>0</v>
      </c>
      <c r="I6" t="s">
        <v>4064</v>
      </c>
      <c r="J6" t="s">
        <v>4058</v>
      </c>
      <c r="K6" t="s">
        <v>4066</v>
      </c>
      <c r="L6" t="s">
        <v>3962</v>
      </c>
      <c r="M6" s="4" t="s">
        <v>4068</v>
      </c>
    </row>
    <row r="7" spans="1:13" x14ac:dyDescent="0.25">
      <c r="I7" t="s">
        <v>4065</v>
      </c>
      <c r="J7" t="s">
        <v>4058</v>
      </c>
      <c r="K7" t="s">
        <v>4067</v>
      </c>
      <c r="L7" t="s">
        <v>3962</v>
      </c>
      <c r="M7" s="4" t="s">
        <v>4069</v>
      </c>
    </row>
    <row r="8" spans="1:13" x14ac:dyDescent="0.25">
      <c r="A8" t="s">
        <v>3716</v>
      </c>
      <c r="B8" t="s">
        <v>0</v>
      </c>
      <c r="C8" t="s">
        <v>1</v>
      </c>
      <c r="D8" s="4" t="s">
        <v>2</v>
      </c>
      <c r="E8" s="4" t="s">
        <v>3</v>
      </c>
      <c r="I8" t="s">
        <v>4070</v>
      </c>
      <c r="J8" t="s">
        <v>4058</v>
      </c>
      <c r="K8" t="s">
        <v>4073</v>
      </c>
      <c r="L8" t="s">
        <v>3962</v>
      </c>
      <c r="M8" s="4" t="s">
        <v>4076</v>
      </c>
    </row>
    <row r="9" spans="1:13" x14ac:dyDescent="0.25">
      <c r="D9" s="4"/>
      <c r="E9" s="4"/>
      <c r="I9" t="s">
        <v>4071</v>
      </c>
      <c r="J9" t="s">
        <v>4058</v>
      </c>
      <c r="K9" t="s">
        <v>4074</v>
      </c>
      <c r="L9" t="s">
        <v>3962</v>
      </c>
      <c r="M9" s="4" t="s">
        <v>4077</v>
      </c>
    </row>
    <row r="10" spans="1:13" x14ac:dyDescent="0.25">
      <c r="A10" t="s">
        <v>4</v>
      </c>
      <c r="D10" s="4">
        <f>SUBTOTAL(109,tbl_registro_mayor_2[Debe])</f>
        <v>0</v>
      </c>
      <c r="E10" s="4">
        <f>SUBTOTAL(109,tbl_registro_mayor_2[Haber])</f>
        <v>0</v>
      </c>
      <c r="I10" t="s">
        <v>4072</v>
      </c>
      <c r="J10" t="s">
        <v>4058</v>
      </c>
      <c r="K10" t="s">
        <v>4075</v>
      </c>
      <c r="L10" t="s">
        <v>3962</v>
      </c>
      <c r="M10" s="4" t="s">
        <v>4078</v>
      </c>
    </row>
    <row r="11" spans="1:13" x14ac:dyDescent="0.25">
      <c r="I11" t="s">
        <v>4079</v>
      </c>
      <c r="J11" t="s">
        <v>4058</v>
      </c>
      <c r="K11" t="s">
        <v>4085</v>
      </c>
      <c r="L11" t="s">
        <v>3962</v>
      </c>
      <c r="M11" s="4" t="s">
        <v>4080</v>
      </c>
    </row>
    <row r="12" spans="1:13" x14ac:dyDescent="0.25">
      <c r="A12" t="s">
        <v>3716</v>
      </c>
      <c r="B12" t="s">
        <v>0</v>
      </c>
      <c r="C12" t="s">
        <v>1</v>
      </c>
      <c r="D12" s="4" t="s">
        <v>2</v>
      </c>
      <c r="E12" s="4" t="s">
        <v>3</v>
      </c>
      <c r="I12" t="s">
        <v>4081</v>
      </c>
      <c r="J12" t="s">
        <v>4058</v>
      </c>
      <c r="K12" t="s">
        <v>4086</v>
      </c>
      <c r="L12" t="s">
        <v>3962</v>
      </c>
      <c r="M12" s="4" t="s">
        <v>4082</v>
      </c>
    </row>
    <row r="13" spans="1:13" x14ac:dyDescent="0.25">
      <c r="D13" s="4"/>
      <c r="E13" s="4"/>
      <c r="I13" t="s">
        <v>4083</v>
      </c>
      <c r="J13" t="s">
        <v>4058</v>
      </c>
      <c r="K13" t="s">
        <v>4087</v>
      </c>
      <c r="L13" t="s">
        <v>3962</v>
      </c>
      <c r="M13" s="4" t="s">
        <v>4089</v>
      </c>
    </row>
    <row r="14" spans="1:13" x14ac:dyDescent="0.25">
      <c r="A14" t="s">
        <v>4</v>
      </c>
      <c r="D14" s="4">
        <f>SUBTOTAL(109,tbl_registro_mayor_3[Debe])</f>
        <v>0</v>
      </c>
      <c r="E14" s="4">
        <f>SUBTOTAL(109,tbl_registro_mayor_3[Haber])</f>
        <v>0</v>
      </c>
      <c r="I14" t="s">
        <v>4084</v>
      </c>
      <c r="J14" t="s">
        <v>4058</v>
      </c>
      <c r="K14" t="s">
        <v>4088</v>
      </c>
      <c r="L14" t="s">
        <v>3962</v>
      </c>
      <c r="M14" s="59" t="s">
        <v>4090</v>
      </c>
    </row>
    <row r="15" spans="1:13" x14ac:dyDescent="0.25">
      <c r="I15" t="s">
        <v>4091</v>
      </c>
      <c r="J15" t="s">
        <v>4058</v>
      </c>
      <c r="K15" t="s">
        <v>4096</v>
      </c>
      <c r="L15" t="s">
        <v>3962</v>
      </c>
      <c r="M15" s="59" t="s">
        <v>4092</v>
      </c>
    </row>
    <row r="16" spans="1:13" x14ac:dyDescent="0.25">
      <c r="A16" t="s">
        <v>3716</v>
      </c>
      <c r="B16" t="s">
        <v>0</v>
      </c>
      <c r="C16" t="s">
        <v>1</v>
      </c>
      <c r="D16" s="4" t="s">
        <v>2</v>
      </c>
      <c r="E16" s="4" t="s">
        <v>3</v>
      </c>
      <c r="I16" t="s">
        <v>4093</v>
      </c>
      <c r="J16" t="s">
        <v>4058</v>
      </c>
      <c r="K16" t="s">
        <v>4097</v>
      </c>
      <c r="L16" t="s">
        <v>3962</v>
      </c>
      <c r="M16" s="59" t="s">
        <v>4100</v>
      </c>
    </row>
    <row r="17" spans="1:13" x14ac:dyDescent="0.25">
      <c r="D17" s="4"/>
      <c r="E17" s="4"/>
      <c r="I17" t="s">
        <v>4094</v>
      </c>
      <c r="J17" t="s">
        <v>4058</v>
      </c>
      <c r="K17" t="s">
        <v>4098</v>
      </c>
      <c r="L17" t="s">
        <v>3962</v>
      </c>
      <c r="M17" s="59" t="s">
        <v>4101</v>
      </c>
    </row>
    <row r="18" spans="1:13" x14ac:dyDescent="0.25">
      <c r="A18" t="s">
        <v>4</v>
      </c>
      <c r="D18" s="4">
        <f>SUBTOTAL(109,tbl_registro_mayor_4[Debe])</f>
        <v>0</v>
      </c>
      <c r="E18" s="4">
        <f>SUBTOTAL(109,tbl_registro_mayor_4[Haber])</f>
        <v>0</v>
      </c>
      <c r="I18" t="s">
        <v>4095</v>
      </c>
      <c r="J18" t="s">
        <v>4058</v>
      </c>
      <c r="K18" t="s">
        <v>4099</v>
      </c>
      <c r="L18" t="s">
        <v>3962</v>
      </c>
      <c r="M18" s="59" t="s">
        <v>4102</v>
      </c>
    </row>
    <row r="19" spans="1:13" x14ac:dyDescent="0.25">
      <c r="I19" t="s">
        <v>4103</v>
      </c>
      <c r="J19" t="s">
        <v>4058</v>
      </c>
      <c r="K19" t="s">
        <v>4104</v>
      </c>
      <c r="L19" t="s">
        <v>3962</v>
      </c>
      <c r="M19" s="59" t="s">
        <v>4105</v>
      </c>
    </row>
    <row r="20" spans="1:13" x14ac:dyDescent="0.25">
      <c r="A20" t="s">
        <v>3716</v>
      </c>
      <c r="B20" t="s">
        <v>0</v>
      </c>
      <c r="C20" t="s">
        <v>1</v>
      </c>
      <c r="D20" s="4" t="s">
        <v>2</v>
      </c>
      <c r="E20" s="4" t="s">
        <v>3</v>
      </c>
      <c r="I20" t="s">
        <v>4</v>
      </c>
      <c r="M20" s="24">
        <f>SUBTOTAL(103,tbl_registros_libro_mayor[Titulos tablas])</f>
        <v>16</v>
      </c>
    </row>
    <row r="21" spans="1:13" x14ac:dyDescent="0.25">
      <c r="D21" s="4"/>
      <c r="E21" s="4"/>
    </row>
    <row r="22" spans="1:13" x14ac:dyDescent="0.25">
      <c r="A22" t="s">
        <v>4</v>
      </c>
      <c r="D22" s="4">
        <f>SUBTOTAL(109,tbl_registro_mayor_5[Debe])</f>
        <v>0</v>
      </c>
      <c r="E22" s="4">
        <f>SUBTOTAL(109,tbl_registro_mayor_5[Haber])</f>
        <v>0</v>
      </c>
    </row>
    <row r="24" spans="1:13" x14ac:dyDescent="0.25">
      <c r="A24" t="s">
        <v>3716</v>
      </c>
      <c r="B24" t="s">
        <v>0</v>
      </c>
      <c r="C24" t="s">
        <v>1</v>
      </c>
      <c r="D24" s="4" t="s">
        <v>2</v>
      </c>
      <c r="E24" s="4" t="s">
        <v>3</v>
      </c>
    </row>
    <row r="25" spans="1:13" x14ac:dyDescent="0.25">
      <c r="D25" s="4"/>
      <c r="E25" s="4"/>
    </row>
    <row r="26" spans="1:13" x14ac:dyDescent="0.25">
      <c r="A26" t="s">
        <v>4</v>
      </c>
      <c r="D26" s="4">
        <f>SUBTOTAL(109,tbl_registro_mayor_6[Debe])</f>
        <v>0</v>
      </c>
      <c r="E26" s="4">
        <f>SUBTOTAL(109,tbl_registro_mayor_6[Haber])</f>
        <v>0</v>
      </c>
    </row>
    <row r="28" spans="1:13" x14ac:dyDescent="0.25">
      <c r="A28" t="s">
        <v>3716</v>
      </c>
      <c r="B28" t="s">
        <v>0</v>
      </c>
      <c r="C28" t="s">
        <v>1</v>
      </c>
      <c r="D28" s="4" t="s">
        <v>2</v>
      </c>
      <c r="E28" s="4" t="s">
        <v>3</v>
      </c>
    </row>
    <row r="29" spans="1:13" x14ac:dyDescent="0.25">
      <c r="D29" s="4"/>
      <c r="E29" s="4"/>
    </row>
    <row r="30" spans="1:13" x14ac:dyDescent="0.25">
      <c r="A30" t="s">
        <v>4</v>
      </c>
      <c r="D30" s="4">
        <f>SUBTOTAL(109,tbl_registro_mayor_7[Debe])</f>
        <v>0</v>
      </c>
      <c r="E30" s="4">
        <f>SUBTOTAL(109,tbl_registro_mayor_7[Haber])</f>
        <v>0</v>
      </c>
    </row>
    <row r="32" spans="1:13" x14ac:dyDescent="0.25">
      <c r="A32" t="s">
        <v>3716</v>
      </c>
      <c r="B32" t="s">
        <v>0</v>
      </c>
      <c r="C32" t="s">
        <v>1</v>
      </c>
      <c r="D32" s="4" t="s">
        <v>2</v>
      </c>
      <c r="E32" s="4" t="s">
        <v>3</v>
      </c>
    </row>
    <row r="33" spans="1:5" x14ac:dyDescent="0.25">
      <c r="D33" s="4"/>
      <c r="E33" s="4"/>
    </row>
    <row r="34" spans="1:5" x14ac:dyDescent="0.25">
      <c r="A34" t="s">
        <v>4</v>
      </c>
      <c r="D34" s="4">
        <f>SUBTOTAL(109,tbl_registro_mayor_8[Debe])</f>
        <v>0</v>
      </c>
      <c r="E34" s="4">
        <f>SUBTOTAL(109,tbl_registro_mayor_8[Haber])</f>
        <v>0</v>
      </c>
    </row>
    <row r="36" spans="1:5" x14ac:dyDescent="0.25">
      <c r="A36" t="s">
        <v>3716</v>
      </c>
      <c r="B36" t="s">
        <v>0</v>
      </c>
      <c r="C36" t="s">
        <v>1</v>
      </c>
      <c r="D36" s="4" t="s">
        <v>2</v>
      </c>
      <c r="E36" s="4" t="s">
        <v>3</v>
      </c>
    </row>
    <row r="37" spans="1:5" x14ac:dyDescent="0.25">
      <c r="D37" s="4"/>
      <c r="E37" s="4"/>
    </row>
    <row r="38" spans="1:5" x14ac:dyDescent="0.25">
      <c r="A38" t="s">
        <v>4</v>
      </c>
      <c r="D38" s="4">
        <f>SUBTOTAL(109,tbl_registro_mayor_9[Debe])</f>
        <v>0</v>
      </c>
      <c r="E38" s="4">
        <f>SUBTOTAL(109,tbl_registro_mayor_9[Haber])</f>
        <v>0</v>
      </c>
    </row>
    <row r="40" spans="1:5" x14ac:dyDescent="0.25">
      <c r="A40" t="s">
        <v>3716</v>
      </c>
      <c r="B40" t="s">
        <v>0</v>
      </c>
      <c r="C40" t="s">
        <v>1</v>
      </c>
      <c r="D40" s="4" t="s">
        <v>2</v>
      </c>
      <c r="E40" s="4" t="s">
        <v>3</v>
      </c>
    </row>
    <row r="41" spans="1:5" x14ac:dyDescent="0.25">
      <c r="D41" s="4"/>
      <c r="E41" s="4"/>
    </row>
    <row r="42" spans="1:5" x14ac:dyDescent="0.25">
      <c r="A42" t="s">
        <v>4</v>
      </c>
      <c r="D42" s="4">
        <f>SUBTOTAL(109,tbl_registro_mayor_10[Debe])</f>
        <v>0</v>
      </c>
      <c r="E42" s="4">
        <f>SUBTOTAL(109,tbl_registro_mayor_10[Haber])</f>
        <v>0</v>
      </c>
    </row>
    <row r="44" spans="1:5" x14ac:dyDescent="0.25">
      <c r="A44" t="s">
        <v>3716</v>
      </c>
      <c r="B44" t="s">
        <v>0</v>
      </c>
      <c r="C44" t="s">
        <v>1</v>
      </c>
      <c r="D44" s="4" t="s">
        <v>2</v>
      </c>
      <c r="E44" s="4" t="s">
        <v>3</v>
      </c>
    </row>
    <row r="45" spans="1:5" x14ac:dyDescent="0.25">
      <c r="D45" s="4"/>
      <c r="E45" s="4"/>
    </row>
    <row r="46" spans="1:5" x14ac:dyDescent="0.25">
      <c r="A46" t="s">
        <v>4</v>
      </c>
      <c r="D46" s="4">
        <f>SUBTOTAL(109,tbl_registro_mayor_11[Debe])</f>
        <v>0</v>
      </c>
      <c r="E46" s="4">
        <f>SUBTOTAL(109,tbl_registro_mayor_11[Haber])</f>
        <v>0</v>
      </c>
    </row>
    <row r="125" spans="9:13" x14ac:dyDescent="0.25">
      <c r="I125" t="s">
        <v>3716</v>
      </c>
      <c r="J125" t="s">
        <v>0</v>
      </c>
      <c r="K125" t="s">
        <v>1</v>
      </c>
      <c r="L125" s="4" t="s">
        <v>2</v>
      </c>
      <c r="M125" s="4" t="s">
        <v>3</v>
      </c>
    </row>
    <row r="126" spans="9:13" x14ac:dyDescent="0.25">
      <c r="L126" s="4"/>
      <c r="M126" s="4"/>
    </row>
    <row r="127" spans="9:13" x14ac:dyDescent="0.25">
      <c r="I127" t="s">
        <v>4</v>
      </c>
      <c r="L127" s="4">
        <f>SUBTOTAL(109,tbl_registro_mayor_12[Debe])</f>
        <v>0</v>
      </c>
      <c r="M127" s="4">
        <f>SUBTOTAL(109,tbl_registro_mayor_12[Haber])</f>
        <v>0</v>
      </c>
    </row>
    <row r="129" spans="9:13" x14ac:dyDescent="0.25">
      <c r="I129" t="s">
        <v>3716</v>
      </c>
      <c r="J129" t="s">
        <v>0</v>
      </c>
      <c r="K129" t="s">
        <v>1</v>
      </c>
      <c r="L129" s="4" t="s">
        <v>2</v>
      </c>
      <c r="M129" s="4" t="s">
        <v>3</v>
      </c>
    </row>
    <row r="130" spans="9:13" x14ac:dyDescent="0.25">
      <c r="L130" s="4"/>
      <c r="M130" s="4"/>
    </row>
    <row r="131" spans="9:13" x14ac:dyDescent="0.25">
      <c r="I131" t="s">
        <v>4</v>
      </c>
      <c r="L131" s="4">
        <f>SUBTOTAL(109,tbl_registro_mayor_13[Debe])</f>
        <v>0</v>
      </c>
      <c r="M131" s="4">
        <f>SUBTOTAL(109,tbl_registro_mayor_13[Haber])</f>
        <v>0</v>
      </c>
    </row>
    <row r="133" spans="9:13" x14ac:dyDescent="0.25">
      <c r="I133" t="s">
        <v>3716</v>
      </c>
      <c r="J133" t="s">
        <v>0</v>
      </c>
      <c r="K133" t="s">
        <v>1</v>
      </c>
      <c r="L133" s="4" t="s">
        <v>2</v>
      </c>
      <c r="M133" s="4" t="s">
        <v>3</v>
      </c>
    </row>
    <row r="134" spans="9:13" x14ac:dyDescent="0.25">
      <c r="L134" s="4"/>
      <c r="M134" s="4"/>
    </row>
    <row r="135" spans="9:13" x14ac:dyDescent="0.25">
      <c r="I135" t="s">
        <v>4</v>
      </c>
      <c r="L135" s="4">
        <f>SUBTOTAL(109,tbl_registro_mayor_14[Debe])</f>
        <v>0</v>
      </c>
      <c r="M135" s="4">
        <f>SUBTOTAL(109,tbl_registro_mayor_14[Haber])</f>
        <v>0</v>
      </c>
    </row>
    <row r="137" spans="9:13" x14ac:dyDescent="0.25">
      <c r="I137" t="s">
        <v>3716</v>
      </c>
      <c r="J137" t="s">
        <v>0</v>
      </c>
      <c r="K137" t="s">
        <v>1</v>
      </c>
      <c r="L137" s="4" t="s">
        <v>2</v>
      </c>
      <c r="M137" s="4" t="s">
        <v>3</v>
      </c>
    </row>
    <row r="138" spans="9:13" x14ac:dyDescent="0.25">
      <c r="L138" s="4"/>
      <c r="M138" s="4"/>
    </row>
    <row r="139" spans="9:13" x14ac:dyDescent="0.25">
      <c r="I139" t="s">
        <v>4</v>
      </c>
      <c r="L139" s="4">
        <f>SUBTOTAL(109,tbl_registro_mayor_15[Debe])</f>
        <v>0</v>
      </c>
      <c r="M139" s="4">
        <f>SUBTOTAL(109,tbl_registro_mayor_15[Haber])</f>
        <v>0</v>
      </c>
    </row>
    <row r="162" spans="9:13" x14ac:dyDescent="0.25">
      <c r="I162" t="s">
        <v>3716</v>
      </c>
      <c r="J162" t="s">
        <v>0</v>
      </c>
      <c r="K162" t="s">
        <v>1</v>
      </c>
      <c r="L162" s="4" t="s">
        <v>2</v>
      </c>
      <c r="M162" s="4" t="s">
        <v>3</v>
      </c>
    </row>
    <row r="163" spans="9:13" x14ac:dyDescent="0.25">
      <c r="L163" s="4"/>
      <c r="M163" s="4"/>
    </row>
    <row r="164" spans="9:13" x14ac:dyDescent="0.25">
      <c r="I164" t="s">
        <v>4</v>
      </c>
      <c r="L164" s="4">
        <f>SUBTOTAL(109,tbl_registro_mayor_16[Debe])</f>
        <v>0</v>
      </c>
      <c r="M164" s="4">
        <f>SUBTOTAL(109,tbl_registro_mayor_16[Haber])</f>
        <v>0</v>
      </c>
    </row>
  </sheetData>
  <phoneticPr fontId="6" type="noConversion"/>
  <pageMargins left="0.7" right="0.7" top="0.75" bottom="0.75" header="0.3" footer="0.3"/>
  <pageSetup paperSize="9" orientation="portrait"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68" t="s">
        <v>3787</v>
      </c>
      <c r="D2" s="68"/>
      <c r="E2" s="68"/>
      <c r="F2" s="68"/>
      <c r="G2" s="68"/>
      <c r="H2" s="68"/>
      <c r="I2" s="68"/>
    </row>
    <row r="3" spans="3:9" ht="20.25" x14ac:dyDescent="0.3">
      <c r="C3" s="67" t="s">
        <v>3726</v>
      </c>
      <c r="D3" s="67"/>
      <c r="E3" s="63" t="s">
        <v>3732</v>
      </c>
      <c r="F3" s="64"/>
      <c r="G3" s="64"/>
      <c r="H3" s="64"/>
      <c r="I3" s="64"/>
    </row>
    <row r="4" spans="3:9" ht="20.25" x14ac:dyDescent="0.3">
      <c r="C4" s="67" t="s">
        <v>3728</v>
      </c>
      <c r="D4" s="67"/>
      <c r="E4" s="65">
        <v>900235498</v>
      </c>
      <c r="F4" s="66"/>
      <c r="G4" s="66"/>
      <c r="H4" s="66"/>
      <c r="I4" s="66"/>
    </row>
    <row r="5" spans="3:9" ht="20.25" x14ac:dyDescent="0.3">
      <c r="C5" s="67" t="s">
        <v>3729</v>
      </c>
      <c r="D5" s="67"/>
      <c r="E5" s="65" t="s">
        <v>3734</v>
      </c>
      <c r="F5" s="66"/>
      <c r="G5" s="66"/>
      <c r="H5" s="66"/>
      <c r="I5" s="66"/>
    </row>
    <row r="6" spans="3:9" ht="20.25" x14ac:dyDescent="0.3">
      <c r="C6" s="67" t="s">
        <v>3730</v>
      </c>
      <c r="D6" s="67"/>
      <c r="E6" s="65" t="s">
        <v>3733</v>
      </c>
      <c r="F6" s="66"/>
      <c r="G6" s="66"/>
      <c r="H6" s="66"/>
      <c r="I6" s="66"/>
    </row>
    <row r="7" spans="3:9" ht="20.25" x14ac:dyDescent="0.3">
      <c r="C7" s="67" t="s">
        <v>3788</v>
      </c>
      <c r="D7" s="67"/>
      <c r="E7" s="65" t="s">
        <v>3735</v>
      </c>
      <c r="F7" s="66"/>
      <c r="G7" s="66"/>
      <c r="H7" s="66"/>
      <c r="I7" s="66"/>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A6A83-5464-483D-B95C-01E1BF0D555D}">
  <sheetPr codeName="Hoja16">
    <tabColor rgb="FF7AC77F"/>
  </sheetPr>
  <dimension ref="A1:N32"/>
  <sheetViews>
    <sheetView topLeftCell="B11" zoomScale="80" zoomScaleNormal="80" workbookViewId="0"/>
  </sheetViews>
  <sheetFormatPr baseColWidth="10" defaultRowHeight="15" x14ac:dyDescent="0.25"/>
  <cols>
    <col min="1" max="1" width="11.5703125" bestFit="1" customWidth="1"/>
    <col min="2" max="2" width="48.7109375" bestFit="1" customWidth="1"/>
    <col min="3" max="3" width="11.42578125" bestFit="1" customWidth="1"/>
    <col min="4" max="5" width="14.140625" bestFit="1" customWidth="1"/>
    <col min="6" max="6" width="9.85546875" bestFit="1" customWidth="1"/>
    <col min="10" max="10" width="12" bestFit="1" customWidth="1"/>
    <col min="11" max="11" width="18" bestFit="1" customWidth="1"/>
    <col min="12" max="12" width="12.7109375" bestFit="1" customWidth="1"/>
    <col min="13" max="13" width="20.140625" bestFit="1" customWidth="1"/>
    <col min="14" max="14" width="46.5703125" bestFit="1" customWidth="1"/>
  </cols>
  <sheetData>
    <row r="1" spans="1:6" x14ac:dyDescent="0.25">
      <c r="A1" t="s">
        <v>3718</v>
      </c>
      <c r="B1" t="s">
        <v>3819</v>
      </c>
      <c r="C1" t="s">
        <v>3820</v>
      </c>
      <c r="D1" t="s">
        <v>2</v>
      </c>
      <c r="E1" t="s">
        <v>3</v>
      </c>
      <c r="F1" t="s">
        <v>3821</v>
      </c>
    </row>
    <row r="2" spans="1:6" x14ac:dyDescent="0.25">
      <c r="A2" s="24" t="s">
        <v>4122</v>
      </c>
      <c r="B2" s="24" t="s">
        <v>3842</v>
      </c>
      <c r="C2" s="24" t="s">
        <v>3843</v>
      </c>
      <c r="D2" s="24" t="s">
        <v>4132</v>
      </c>
      <c r="E2" s="24" t="s">
        <v>4133</v>
      </c>
      <c r="F2">
        <v>12000000</v>
      </c>
    </row>
    <row r="3" spans="1:6" x14ac:dyDescent="0.25">
      <c r="A3" s="24" t="s">
        <v>4122</v>
      </c>
      <c r="B3" s="24" t="s">
        <v>4050</v>
      </c>
      <c r="C3" s="24" t="s">
        <v>3844</v>
      </c>
      <c r="D3" s="24" t="s">
        <v>4134</v>
      </c>
      <c r="E3" s="24" t="s">
        <v>4133</v>
      </c>
      <c r="F3">
        <v>12430000</v>
      </c>
    </row>
    <row r="4" spans="1:6" x14ac:dyDescent="0.25">
      <c r="A4" s="24" t="s">
        <v>4122</v>
      </c>
      <c r="B4" s="24" t="s">
        <v>3846</v>
      </c>
      <c r="C4" s="24" t="s">
        <v>3845</v>
      </c>
      <c r="D4" s="24" t="s">
        <v>4133</v>
      </c>
      <c r="E4" s="24" t="s">
        <v>4135</v>
      </c>
      <c r="F4">
        <v>12379470</v>
      </c>
    </row>
    <row r="5" spans="1:6" x14ac:dyDescent="0.25">
      <c r="A5" s="24" t="s">
        <v>4123</v>
      </c>
      <c r="B5" s="24" t="s">
        <v>3847</v>
      </c>
      <c r="C5" s="24" t="s">
        <v>3848</v>
      </c>
      <c r="D5" s="24" t="s">
        <v>4133</v>
      </c>
      <c r="E5" s="24" t="s">
        <v>4136</v>
      </c>
      <c r="F5">
        <v>7096470</v>
      </c>
    </row>
    <row r="6" spans="1:6" x14ac:dyDescent="0.25">
      <c r="A6" s="24" t="s">
        <v>4123</v>
      </c>
      <c r="B6" s="24" t="s">
        <v>3849</v>
      </c>
      <c r="C6" s="24" t="s">
        <v>3850</v>
      </c>
      <c r="D6" s="24" t="s">
        <v>4137</v>
      </c>
      <c r="E6" s="24" t="s">
        <v>4133</v>
      </c>
      <c r="F6">
        <v>10596470</v>
      </c>
    </row>
    <row r="7" spans="1:6" x14ac:dyDescent="0.25">
      <c r="A7" s="24" t="s">
        <v>4123</v>
      </c>
      <c r="B7" s="24" t="s">
        <v>3851</v>
      </c>
      <c r="C7" s="24" t="s">
        <v>3852</v>
      </c>
      <c r="D7" s="24" t="s">
        <v>4133</v>
      </c>
      <c r="E7" s="24" t="s">
        <v>4138</v>
      </c>
      <c r="F7">
        <v>8996470</v>
      </c>
    </row>
    <row r="8" spans="1:6" x14ac:dyDescent="0.25">
      <c r="A8" s="24" t="s">
        <v>4123</v>
      </c>
      <c r="B8" s="24" t="s">
        <v>3853</v>
      </c>
      <c r="C8" s="24" t="s">
        <v>3854</v>
      </c>
      <c r="D8" s="24" t="s">
        <v>4133</v>
      </c>
      <c r="E8" s="24" t="s">
        <v>4138</v>
      </c>
      <c r="F8">
        <v>7396470</v>
      </c>
    </row>
    <row r="9" spans="1:6" x14ac:dyDescent="0.25">
      <c r="A9" s="24" t="s">
        <v>4124</v>
      </c>
      <c r="B9" s="24" t="s">
        <v>3855</v>
      </c>
      <c r="C9" s="24" t="s">
        <v>3856</v>
      </c>
      <c r="D9" s="24" t="s">
        <v>4139</v>
      </c>
      <c r="E9" s="24" t="s">
        <v>4133</v>
      </c>
      <c r="F9">
        <v>12879720</v>
      </c>
    </row>
    <row r="10" spans="1:6" x14ac:dyDescent="0.25">
      <c r="A10" s="24" t="s">
        <v>4124</v>
      </c>
      <c r="B10" s="24" t="s">
        <v>3857</v>
      </c>
      <c r="C10" s="24" t="s">
        <v>3858</v>
      </c>
      <c r="D10" s="24" t="s">
        <v>4133</v>
      </c>
      <c r="E10" s="24" t="s">
        <v>4140</v>
      </c>
      <c r="F10">
        <v>12519720</v>
      </c>
    </row>
    <row r="11" spans="1:6" x14ac:dyDescent="0.25">
      <c r="A11" s="24" t="s">
        <v>4124</v>
      </c>
      <c r="B11" s="24" t="s">
        <v>4050</v>
      </c>
      <c r="C11" s="24" t="s">
        <v>3859</v>
      </c>
      <c r="D11" s="24" t="s">
        <v>4141</v>
      </c>
      <c r="E11" s="24" t="s">
        <v>4133</v>
      </c>
      <c r="F11">
        <v>14299720</v>
      </c>
    </row>
    <row r="12" spans="1:6" x14ac:dyDescent="0.25">
      <c r="A12" s="24" t="s">
        <v>4125</v>
      </c>
      <c r="B12" s="24" t="s">
        <v>3860</v>
      </c>
      <c r="C12" s="24" t="s">
        <v>3861</v>
      </c>
      <c r="D12" s="24" t="s">
        <v>4133</v>
      </c>
      <c r="E12" s="24" t="s">
        <v>4142</v>
      </c>
      <c r="F12">
        <v>14061720</v>
      </c>
    </row>
    <row r="13" spans="1:6" x14ac:dyDescent="0.25">
      <c r="A13" s="24" t="s">
        <v>4125</v>
      </c>
      <c r="B13" s="24" t="s">
        <v>3862</v>
      </c>
      <c r="C13" s="24" t="s">
        <v>3863</v>
      </c>
      <c r="D13" s="24" t="s">
        <v>4133</v>
      </c>
      <c r="E13" s="24" t="s">
        <v>4143</v>
      </c>
      <c r="F13">
        <v>7061720</v>
      </c>
    </row>
    <row r="14" spans="1:6" x14ac:dyDescent="0.25">
      <c r="A14" s="24" t="s">
        <v>4125</v>
      </c>
      <c r="B14" s="24" t="s">
        <v>3864</v>
      </c>
      <c r="C14" s="24" t="s">
        <v>3865</v>
      </c>
      <c r="D14" s="24" t="s">
        <v>4144</v>
      </c>
      <c r="E14" s="24" t="s">
        <v>4133</v>
      </c>
      <c r="F14">
        <v>7811720</v>
      </c>
    </row>
    <row r="15" spans="1:6" x14ac:dyDescent="0.25">
      <c r="A15" s="24" t="s">
        <v>4126</v>
      </c>
      <c r="B15" s="24" t="s">
        <v>3866</v>
      </c>
      <c r="C15" s="24" t="s">
        <v>3867</v>
      </c>
      <c r="D15" s="24" t="s">
        <v>4145</v>
      </c>
      <c r="E15" s="24" t="s">
        <v>4133</v>
      </c>
      <c r="F15">
        <v>8791720</v>
      </c>
    </row>
    <row r="16" spans="1:6" x14ac:dyDescent="0.25">
      <c r="A16" s="24" t="s">
        <v>4126</v>
      </c>
      <c r="B16" s="24" t="s">
        <v>4117</v>
      </c>
      <c r="C16" s="24" t="s">
        <v>3868</v>
      </c>
      <c r="D16" s="24" t="s">
        <v>4133</v>
      </c>
      <c r="E16" s="24" t="s">
        <v>4146</v>
      </c>
      <c r="F16">
        <v>8745820</v>
      </c>
    </row>
    <row r="17" spans="1:14" x14ac:dyDescent="0.25">
      <c r="A17" s="24" t="s">
        <v>4126</v>
      </c>
      <c r="B17" s="24" t="s">
        <v>3869</v>
      </c>
      <c r="C17" s="24" t="s">
        <v>3870</v>
      </c>
      <c r="D17" s="24" t="s">
        <v>4133</v>
      </c>
      <c r="E17" s="24" t="s">
        <v>4147</v>
      </c>
      <c r="F17">
        <v>8345820</v>
      </c>
      <c r="L17" t="s">
        <v>4106</v>
      </c>
      <c r="M17" t="s">
        <v>4107</v>
      </c>
      <c r="N17" t="s">
        <v>4108</v>
      </c>
    </row>
    <row r="18" spans="1:14" x14ac:dyDescent="0.25">
      <c r="A18" s="24" t="s">
        <v>4126</v>
      </c>
      <c r="B18" s="24" t="s">
        <v>3871</v>
      </c>
      <c r="C18" s="24" t="s">
        <v>3872</v>
      </c>
      <c r="D18" s="24" t="s">
        <v>4133</v>
      </c>
      <c r="E18" s="24" t="s">
        <v>4148</v>
      </c>
      <c r="F18">
        <v>8175820</v>
      </c>
      <c r="L18" t="s">
        <v>4109</v>
      </c>
      <c r="M18" t="s">
        <v>4111</v>
      </c>
      <c r="N18" t="s">
        <v>4131</v>
      </c>
    </row>
    <row r="19" spans="1:14" x14ac:dyDescent="0.25">
      <c r="A19" s="24" t="s">
        <v>4126</v>
      </c>
      <c r="B19" s="24" t="s">
        <v>3873</v>
      </c>
      <c r="C19" s="24" t="s">
        <v>3874</v>
      </c>
      <c r="D19" s="24" t="s">
        <v>4149</v>
      </c>
      <c r="E19" s="24" t="s">
        <v>4133</v>
      </c>
      <c r="F19">
        <v>10140820</v>
      </c>
    </row>
    <row r="20" spans="1:14" x14ac:dyDescent="0.25">
      <c r="A20" s="24" t="s">
        <v>4127</v>
      </c>
      <c r="B20" s="24" t="s">
        <v>4050</v>
      </c>
      <c r="C20" s="24" t="s">
        <v>3875</v>
      </c>
      <c r="D20" s="24" t="s">
        <v>4150</v>
      </c>
      <c r="E20" s="24" t="s">
        <v>4133</v>
      </c>
      <c r="F20">
        <v>10390820</v>
      </c>
    </row>
    <row r="21" spans="1:14" x14ac:dyDescent="0.25">
      <c r="A21" s="24" t="s">
        <v>4127</v>
      </c>
      <c r="B21" s="24" t="s">
        <v>3876</v>
      </c>
      <c r="C21" s="24" t="s">
        <v>3877</v>
      </c>
      <c r="D21" s="24" t="s">
        <v>4133</v>
      </c>
      <c r="E21" s="24" t="s">
        <v>4151</v>
      </c>
      <c r="F21">
        <v>5890820</v>
      </c>
    </row>
    <row r="22" spans="1:14" x14ac:dyDescent="0.25">
      <c r="A22" s="24" t="s">
        <v>4127</v>
      </c>
      <c r="B22" s="24" t="s">
        <v>3878</v>
      </c>
      <c r="C22" s="24" t="s">
        <v>3879</v>
      </c>
      <c r="D22" s="24" t="s">
        <v>4133</v>
      </c>
      <c r="E22" s="24" t="s">
        <v>4152</v>
      </c>
      <c r="F22">
        <v>3590820</v>
      </c>
    </row>
    <row r="23" spans="1:14" x14ac:dyDescent="0.25">
      <c r="A23" s="24" t="s">
        <v>4127</v>
      </c>
      <c r="B23" s="24" t="s">
        <v>3880</v>
      </c>
      <c r="C23" s="24" t="s">
        <v>3881</v>
      </c>
      <c r="D23" s="24" t="s">
        <v>4153</v>
      </c>
      <c r="E23" s="24" t="s">
        <v>4133</v>
      </c>
      <c r="F23">
        <v>7390820</v>
      </c>
    </row>
    <row r="24" spans="1:14" x14ac:dyDescent="0.25">
      <c r="A24" s="24" t="s">
        <v>4128</v>
      </c>
      <c r="B24" s="24" t="s">
        <v>3882</v>
      </c>
      <c r="C24" s="24" t="s">
        <v>3883</v>
      </c>
      <c r="D24" s="24" t="s">
        <v>4154</v>
      </c>
      <c r="E24" s="24" t="s">
        <v>4133</v>
      </c>
      <c r="F24">
        <v>7660820</v>
      </c>
    </row>
    <row r="25" spans="1:14" x14ac:dyDescent="0.25">
      <c r="A25" s="24" t="s">
        <v>4128</v>
      </c>
      <c r="B25" s="24" t="s">
        <v>3884</v>
      </c>
      <c r="C25" s="24" t="s">
        <v>3885</v>
      </c>
      <c r="D25" s="24" t="s">
        <v>4133</v>
      </c>
      <c r="E25" s="24" t="s">
        <v>4155</v>
      </c>
      <c r="F25">
        <v>7560820</v>
      </c>
    </row>
    <row r="26" spans="1:14" x14ac:dyDescent="0.25">
      <c r="A26" s="24" t="s">
        <v>4128</v>
      </c>
      <c r="B26" s="24" t="s">
        <v>3886</v>
      </c>
      <c r="C26" s="24" t="s">
        <v>3887</v>
      </c>
      <c r="D26" s="24" t="s">
        <v>4133</v>
      </c>
      <c r="E26" s="24" t="s">
        <v>4156</v>
      </c>
      <c r="F26">
        <v>6260820</v>
      </c>
    </row>
    <row r="27" spans="1:14" x14ac:dyDescent="0.25">
      <c r="A27" s="24" t="s">
        <v>4128</v>
      </c>
      <c r="B27" s="24" t="s">
        <v>4119</v>
      </c>
      <c r="C27" s="24" t="s">
        <v>3888</v>
      </c>
      <c r="D27" s="24" t="s">
        <v>4133</v>
      </c>
      <c r="E27" s="24" t="s">
        <v>4147</v>
      </c>
      <c r="F27">
        <v>5860820</v>
      </c>
    </row>
    <row r="28" spans="1:14" x14ac:dyDescent="0.25">
      <c r="A28" s="24" t="s">
        <v>4129</v>
      </c>
      <c r="B28" s="24" t="s">
        <v>3889</v>
      </c>
      <c r="C28" s="24" t="s">
        <v>3890</v>
      </c>
      <c r="D28" s="24" t="s">
        <v>4157</v>
      </c>
      <c r="E28" s="24" t="s">
        <v>4133</v>
      </c>
      <c r="F28">
        <v>7060820</v>
      </c>
    </row>
    <row r="29" spans="1:14" x14ac:dyDescent="0.25">
      <c r="A29" s="24" t="s">
        <v>4129</v>
      </c>
      <c r="B29" s="24" t="s">
        <v>3891</v>
      </c>
      <c r="C29" s="24" t="s">
        <v>3892</v>
      </c>
      <c r="D29" s="24" t="s">
        <v>4133</v>
      </c>
      <c r="E29" s="24" t="s">
        <v>4150</v>
      </c>
      <c r="F29">
        <v>6810820</v>
      </c>
    </row>
    <row r="30" spans="1:14" x14ac:dyDescent="0.25">
      <c r="A30" s="24" t="s">
        <v>4129</v>
      </c>
      <c r="B30" s="24" t="s">
        <v>4120</v>
      </c>
      <c r="C30" s="24" t="s">
        <v>3893</v>
      </c>
      <c r="D30" s="24" t="s">
        <v>4133</v>
      </c>
      <c r="E30" s="24" t="s">
        <v>4158</v>
      </c>
      <c r="F30">
        <v>6780820</v>
      </c>
    </row>
    <row r="31" spans="1:14" x14ac:dyDescent="0.25">
      <c r="A31" s="24" t="s">
        <v>4129</v>
      </c>
      <c r="B31" s="24" t="s">
        <v>3894</v>
      </c>
      <c r="C31" s="24" t="s">
        <v>3895</v>
      </c>
      <c r="D31" s="24" t="s">
        <v>4159</v>
      </c>
      <c r="E31" s="24" t="s">
        <v>4133</v>
      </c>
      <c r="F31">
        <v>7230820</v>
      </c>
    </row>
    <row r="32" spans="1:14" x14ac:dyDescent="0.25">
      <c r="A32" s="24" t="s">
        <v>4130</v>
      </c>
      <c r="B32" s="24" t="s">
        <v>3864</v>
      </c>
      <c r="C32" s="24" t="s">
        <v>3896</v>
      </c>
      <c r="D32" s="24" t="s">
        <v>4157</v>
      </c>
      <c r="E32" s="24" t="s">
        <v>4133</v>
      </c>
      <c r="F32">
        <v>8430820</v>
      </c>
    </row>
  </sheetData>
  <phoneticPr fontId="6" type="noConversion"/>
  <pageMargins left="0.7" right="0.7" top="0.75" bottom="0.75" header="0.3" footer="0.3"/>
  <drawing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11"/>
  <sheetViews>
    <sheetView zoomScale="70" zoomScaleNormal="70" workbookViewId="0">
      <selection activeCell="J21" sqref="J21"/>
    </sheetView>
  </sheetViews>
  <sheetFormatPr baseColWidth="10" defaultRowHeight="15" x14ac:dyDescent="0.25"/>
  <cols>
    <col min="1" max="3" width="12" customWidth="1"/>
    <col min="4" max="4" width="43.85546875" bestFit="1" customWidth="1"/>
    <col min="5" max="5" width="17.28515625" customWidth="1"/>
    <col min="6" max="7" width="22.5703125" bestFit="1" customWidth="1"/>
    <col min="8" max="8" width="21.5703125" bestFit="1" customWidth="1"/>
    <col min="10" max="10" width="14.140625" bestFit="1" customWidth="1"/>
    <col min="11" max="11" width="11.85546875" bestFit="1" customWidth="1"/>
  </cols>
  <sheetData>
    <row r="1" spans="3:10" ht="26.25" x14ac:dyDescent="0.4">
      <c r="C1" s="81" t="s">
        <v>3822</v>
      </c>
      <c r="D1" s="81"/>
      <c r="E1" s="81"/>
      <c r="F1" s="81"/>
      <c r="G1" s="81"/>
    </row>
    <row r="2" spans="3:10" ht="20.25" x14ac:dyDescent="0.3">
      <c r="C2" s="73" t="s">
        <v>3726</v>
      </c>
      <c r="D2" s="74"/>
      <c r="E2" s="78" t="s">
        <v>3732</v>
      </c>
      <c r="F2" s="79"/>
      <c r="G2" s="80"/>
    </row>
    <row r="3" spans="3:10" ht="20.25" x14ac:dyDescent="0.3">
      <c r="C3" s="73" t="s">
        <v>3728</v>
      </c>
      <c r="D3" s="74"/>
      <c r="E3" s="78">
        <v>900235498</v>
      </c>
      <c r="F3" s="79"/>
      <c r="G3" s="80"/>
    </row>
    <row r="4" spans="3:10" ht="20.25" x14ac:dyDescent="0.3">
      <c r="C4" s="73" t="s">
        <v>3730</v>
      </c>
      <c r="D4" s="74"/>
      <c r="E4" s="78" t="s">
        <v>3733</v>
      </c>
      <c r="F4" s="79"/>
      <c r="G4" s="80"/>
      <c r="J4" s="4"/>
    </row>
    <row r="5" spans="3:10" ht="20.25" x14ac:dyDescent="0.3">
      <c r="C5" s="73" t="s">
        <v>3823</v>
      </c>
      <c r="D5" s="74"/>
      <c r="E5" s="78" t="s">
        <v>3824</v>
      </c>
      <c r="F5" s="79"/>
      <c r="G5" s="80"/>
    </row>
    <row r="6" spans="3:10" ht="20.25" x14ac:dyDescent="0.3">
      <c r="C6" s="73" t="s">
        <v>3825</v>
      </c>
      <c r="D6" s="74"/>
      <c r="E6" s="78" t="s">
        <v>3826</v>
      </c>
      <c r="F6" s="79"/>
      <c r="G6" s="80"/>
      <c r="J6" s="4"/>
    </row>
    <row r="7" spans="3:10" ht="20.25" x14ac:dyDescent="0.3">
      <c r="C7" s="73" t="s">
        <v>3827</v>
      </c>
      <c r="D7" s="74"/>
      <c r="E7" s="75">
        <v>10000000</v>
      </c>
      <c r="F7" s="76"/>
      <c r="G7" s="77"/>
    </row>
    <row r="9" spans="3:10" x14ac:dyDescent="0.25">
      <c r="C9" s="46" t="s">
        <v>3718</v>
      </c>
      <c r="D9" s="46" t="s">
        <v>3819</v>
      </c>
      <c r="E9" s="46" t="s">
        <v>3820</v>
      </c>
      <c r="F9" s="47" t="s">
        <v>2</v>
      </c>
      <c r="G9" s="47" t="s">
        <v>3</v>
      </c>
      <c r="H9" s="47" t="s">
        <v>3821</v>
      </c>
    </row>
    <row r="10" spans="3:10" x14ac:dyDescent="0.25">
      <c r="C10" s="24" t="s">
        <v>4122</v>
      </c>
      <c r="D10" s="24" t="s">
        <v>3842</v>
      </c>
      <c r="E10" s="24" t="s">
        <v>3843</v>
      </c>
      <c r="F10" s="24" t="s">
        <v>4132</v>
      </c>
      <c r="G10" s="24" t="s">
        <v>4133</v>
      </c>
      <c r="H10">
        <v>12000000</v>
      </c>
    </row>
    <row r="11" spans="3:10" x14ac:dyDescent="0.25">
      <c r="C11" s="46" t="s">
        <v>4</v>
      </c>
      <c r="D11" s="46"/>
      <c r="E11" s="46"/>
      <c r="F11" s="47">
        <f>SUBTOTAL(109,tbl_libro_auxiliar_bancos[Debe])</f>
        <v>0</v>
      </c>
      <c r="G11" s="47">
        <f>SUBTOTAL(109,tbl_libro_auxiliar_bancos[Haber])</f>
        <v>0</v>
      </c>
      <c r="H11" s="47" cm="1">
        <f t="array" ref="H11">INDEX(tbl_libro_auxiliar_bancos[Saldo], COUNT(tbl_libro_auxiliar_bancos[Saldo]))</f>
        <v>12000000</v>
      </c>
    </row>
  </sheetData>
  <mergeCells count="13">
    <mergeCell ref="E3:G3"/>
    <mergeCell ref="C3:D3"/>
    <mergeCell ref="E2:G2"/>
    <mergeCell ref="C2:D2"/>
    <mergeCell ref="C1:G1"/>
    <mergeCell ref="C7:D7"/>
    <mergeCell ref="E7:G7"/>
    <mergeCell ref="C4:D4"/>
    <mergeCell ref="E4:G4"/>
    <mergeCell ref="C5:D5"/>
    <mergeCell ref="E5:G5"/>
    <mergeCell ref="C6:D6"/>
    <mergeCell ref="E6:G6"/>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J41"/>
  <sheetViews>
    <sheetView zoomScale="80" zoomScaleNormal="80" workbookViewId="0">
      <selection activeCell="B7" sqref="B7"/>
    </sheetView>
  </sheetViews>
  <sheetFormatPr baseColWidth="10" defaultRowHeight="15" x14ac:dyDescent="0.25"/>
  <cols>
    <col min="1" max="1" width="11.5703125" bestFit="1" customWidth="1"/>
    <col min="2" max="2" width="48.7109375" bestFit="1" customWidth="1"/>
    <col min="3" max="3" width="11.42578125" bestFit="1" customWidth="1"/>
    <col min="4" max="4" width="9.42578125" bestFit="1" customWidth="1"/>
    <col min="5" max="5" width="13" bestFit="1" customWidth="1"/>
    <col min="8" max="8" width="12" bestFit="1" customWidth="1"/>
    <col min="9" max="9" width="18" bestFit="1" customWidth="1"/>
    <col min="10" max="10" width="43.42578125" bestFit="1" customWidth="1"/>
    <col min="11" max="11" width="18.28515625" bestFit="1" customWidth="1"/>
    <col min="12" max="12" width="43.42578125" bestFit="1" customWidth="1"/>
  </cols>
  <sheetData>
    <row r="1" spans="1:10" x14ac:dyDescent="0.25">
      <c r="A1" t="s">
        <v>3718</v>
      </c>
      <c r="B1" t="s">
        <v>3819</v>
      </c>
      <c r="C1" t="s">
        <v>3820</v>
      </c>
      <c r="D1" t="s">
        <v>3780</v>
      </c>
      <c r="E1" t="s">
        <v>3821</v>
      </c>
    </row>
    <row r="2" spans="1:10" x14ac:dyDescent="0.25">
      <c r="A2" s="5">
        <v>45383</v>
      </c>
      <c r="B2" s="24" t="s">
        <v>4112</v>
      </c>
      <c r="C2" s="24" t="s">
        <v>3998</v>
      </c>
      <c r="D2">
        <v>0.31</v>
      </c>
      <c r="E2">
        <v>10000000.310000001</v>
      </c>
    </row>
    <row r="3" spans="1:10" x14ac:dyDescent="0.25">
      <c r="A3" s="5">
        <v>45384</v>
      </c>
      <c r="B3" s="24" t="s">
        <v>3849</v>
      </c>
      <c r="C3" s="24" t="s">
        <v>3850</v>
      </c>
      <c r="D3">
        <v>3000000</v>
      </c>
      <c r="E3">
        <v>13000000.310000001</v>
      </c>
    </row>
    <row r="4" spans="1:10" x14ac:dyDescent="0.25">
      <c r="A4" s="5">
        <v>45384</v>
      </c>
      <c r="B4" s="24" t="s">
        <v>4112</v>
      </c>
      <c r="C4" s="24" t="s">
        <v>3998</v>
      </c>
      <c r="D4">
        <v>0.1</v>
      </c>
      <c r="E4">
        <v>13000000.41</v>
      </c>
    </row>
    <row r="5" spans="1:10" x14ac:dyDescent="0.25">
      <c r="A5" s="5">
        <v>45385</v>
      </c>
      <c r="B5" s="24" t="s">
        <v>3855</v>
      </c>
      <c r="C5" s="24" t="s">
        <v>3856</v>
      </c>
      <c r="D5">
        <v>5483250</v>
      </c>
      <c r="E5">
        <v>18483250.41</v>
      </c>
    </row>
    <row r="6" spans="1:10" x14ac:dyDescent="0.25">
      <c r="A6" s="5">
        <v>45385</v>
      </c>
      <c r="B6" s="24" t="s">
        <v>4113</v>
      </c>
      <c r="C6" s="24" t="s">
        <v>4004</v>
      </c>
      <c r="D6">
        <v>28000</v>
      </c>
      <c r="E6">
        <v>18511250.41</v>
      </c>
    </row>
    <row r="7" spans="1:10" x14ac:dyDescent="0.25">
      <c r="A7" s="5">
        <v>45385</v>
      </c>
      <c r="B7" s="24" t="s">
        <v>4050</v>
      </c>
      <c r="C7" s="24" t="s">
        <v>3859</v>
      </c>
      <c r="D7">
        <v>1780000</v>
      </c>
      <c r="E7">
        <v>20291250.41</v>
      </c>
    </row>
    <row r="8" spans="1:10" x14ac:dyDescent="0.25">
      <c r="A8" s="5">
        <v>45385</v>
      </c>
      <c r="B8" s="24" t="s">
        <v>3846</v>
      </c>
      <c r="C8" s="24" t="s">
        <v>3845</v>
      </c>
      <c r="D8">
        <v>-50530</v>
      </c>
      <c r="E8">
        <v>20240720.41</v>
      </c>
    </row>
    <row r="9" spans="1:10" x14ac:dyDescent="0.25">
      <c r="A9" s="5">
        <v>45386</v>
      </c>
      <c r="B9" s="24" t="s">
        <v>3847</v>
      </c>
      <c r="C9" s="24" t="s">
        <v>3848</v>
      </c>
      <c r="D9">
        <v>-5283000</v>
      </c>
      <c r="E9">
        <v>14957720.41</v>
      </c>
    </row>
    <row r="10" spans="1:10" x14ac:dyDescent="0.25">
      <c r="A10" s="5">
        <v>45386</v>
      </c>
      <c r="B10" s="24" t="s">
        <v>4112</v>
      </c>
      <c r="C10" s="24" t="s">
        <v>3998</v>
      </c>
      <c r="D10">
        <v>0.15</v>
      </c>
      <c r="E10">
        <v>14957720.560000001</v>
      </c>
    </row>
    <row r="11" spans="1:10" x14ac:dyDescent="0.25">
      <c r="A11" s="5">
        <v>45386</v>
      </c>
      <c r="B11" s="24" t="s">
        <v>3864</v>
      </c>
      <c r="C11" s="24" t="s">
        <v>3865</v>
      </c>
      <c r="D11">
        <v>780000</v>
      </c>
      <c r="E11">
        <v>15737720.560000001</v>
      </c>
    </row>
    <row r="12" spans="1:10" x14ac:dyDescent="0.25">
      <c r="A12" s="5">
        <v>45388</v>
      </c>
      <c r="B12" s="24" t="s">
        <v>4114</v>
      </c>
      <c r="C12" s="24" t="s">
        <v>3899</v>
      </c>
      <c r="D12">
        <v>-7095</v>
      </c>
      <c r="E12">
        <v>15730625.560000001</v>
      </c>
    </row>
    <row r="13" spans="1:10" x14ac:dyDescent="0.25">
      <c r="A13" s="5">
        <v>45388</v>
      </c>
      <c r="B13" s="24" t="s">
        <v>3873</v>
      </c>
      <c r="C13" s="24" t="s">
        <v>3874</v>
      </c>
      <c r="D13">
        <v>1965000</v>
      </c>
      <c r="E13">
        <v>17695625.559999999</v>
      </c>
    </row>
    <row r="14" spans="1:10" x14ac:dyDescent="0.25">
      <c r="A14" s="5">
        <v>45389</v>
      </c>
      <c r="B14" s="24" t="s">
        <v>4112</v>
      </c>
      <c r="C14" s="24" t="s">
        <v>3998</v>
      </c>
      <c r="D14">
        <v>0.32</v>
      </c>
      <c r="E14">
        <v>17695625.879999999</v>
      </c>
    </row>
    <row r="15" spans="1:10" x14ac:dyDescent="0.25">
      <c r="A15" s="5">
        <v>45389</v>
      </c>
      <c r="B15" s="24" t="s">
        <v>4115</v>
      </c>
      <c r="C15" s="24" t="s">
        <v>4003</v>
      </c>
      <c r="D15">
        <v>-20000</v>
      </c>
      <c r="E15">
        <v>17675625.879999999</v>
      </c>
      <c r="H15" t="s">
        <v>4106</v>
      </c>
      <c r="I15" t="s">
        <v>4107</v>
      </c>
      <c r="J15" t="s">
        <v>4108</v>
      </c>
    </row>
    <row r="16" spans="1:10" x14ac:dyDescent="0.25">
      <c r="A16" s="5">
        <v>45389</v>
      </c>
      <c r="B16" s="24" t="s">
        <v>4116</v>
      </c>
      <c r="C16" s="24" t="s">
        <v>3899</v>
      </c>
      <c r="D16">
        <v>-2490</v>
      </c>
      <c r="E16">
        <v>17673135.879999999</v>
      </c>
      <c r="H16" t="s">
        <v>4109</v>
      </c>
      <c r="I16" t="s">
        <v>4111</v>
      </c>
      <c r="J16" t="s">
        <v>4110</v>
      </c>
    </row>
    <row r="17" spans="1:5" x14ac:dyDescent="0.25">
      <c r="A17" s="5">
        <v>45392</v>
      </c>
      <c r="B17" s="24" t="s">
        <v>4112</v>
      </c>
      <c r="C17" s="24" t="s">
        <v>3998</v>
      </c>
      <c r="D17">
        <v>0.08</v>
      </c>
      <c r="E17">
        <v>17673135.960000001</v>
      </c>
    </row>
    <row r="18" spans="1:5" x14ac:dyDescent="0.25">
      <c r="A18" s="5">
        <v>45393</v>
      </c>
      <c r="B18" s="24" t="s">
        <v>3851</v>
      </c>
      <c r="C18" s="24" t="s">
        <v>3852</v>
      </c>
      <c r="D18">
        <v>-1600000</v>
      </c>
      <c r="E18">
        <v>16073135.960000001</v>
      </c>
    </row>
    <row r="19" spans="1:5" x14ac:dyDescent="0.25">
      <c r="A19" s="5">
        <v>45393</v>
      </c>
      <c r="B19" s="24" t="s">
        <v>3853</v>
      </c>
      <c r="C19" s="24" t="s">
        <v>3854</v>
      </c>
      <c r="D19">
        <v>-1600000</v>
      </c>
      <c r="E19">
        <v>14473135.960000001</v>
      </c>
    </row>
    <row r="20" spans="1:5" x14ac:dyDescent="0.25">
      <c r="A20" s="5">
        <v>45395</v>
      </c>
      <c r="B20" s="24" t="s">
        <v>3857</v>
      </c>
      <c r="C20" s="24" t="s">
        <v>3858</v>
      </c>
      <c r="D20">
        <v>-260000</v>
      </c>
      <c r="E20">
        <v>14213135.960000001</v>
      </c>
    </row>
    <row r="21" spans="1:5" x14ac:dyDescent="0.25">
      <c r="A21" s="5">
        <v>45395</v>
      </c>
      <c r="B21" s="24" t="s">
        <v>3860</v>
      </c>
      <c r="C21" s="24" t="s">
        <v>3861</v>
      </c>
      <c r="D21">
        <v>-238000</v>
      </c>
      <c r="E21">
        <v>13975135.960000001</v>
      </c>
    </row>
    <row r="22" spans="1:5" x14ac:dyDescent="0.25">
      <c r="A22" s="5">
        <v>45396</v>
      </c>
      <c r="B22" s="24" t="s">
        <v>3862</v>
      </c>
      <c r="C22" s="24" t="s">
        <v>3863</v>
      </c>
      <c r="D22">
        <v>-7000000</v>
      </c>
      <c r="E22">
        <v>6975135.96</v>
      </c>
    </row>
    <row r="23" spans="1:5" x14ac:dyDescent="0.25">
      <c r="A23" s="5">
        <v>45396</v>
      </c>
      <c r="B23" s="24" t="s">
        <v>3842</v>
      </c>
      <c r="C23" s="24" t="s">
        <v>3843</v>
      </c>
      <c r="D23">
        <v>2000000</v>
      </c>
      <c r="E23">
        <v>8975135.9600000009</v>
      </c>
    </row>
    <row r="24" spans="1:5" x14ac:dyDescent="0.25">
      <c r="A24" s="5">
        <v>45396</v>
      </c>
      <c r="B24" s="24" t="s">
        <v>4050</v>
      </c>
      <c r="C24" s="24" t="s">
        <v>3844</v>
      </c>
      <c r="D24">
        <v>430000</v>
      </c>
      <c r="E24">
        <v>9405135.9600000009</v>
      </c>
    </row>
    <row r="25" spans="1:5" x14ac:dyDescent="0.25">
      <c r="A25" s="5">
        <v>45397</v>
      </c>
      <c r="B25" s="24" t="s">
        <v>3880</v>
      </c>
      <c r="C25" s="24" t="s">
        <v>3881</v>
      </c>
      <c r="D25">
        <v>3800000</v>
      </c>
      <c r="E25">
        <v>13205135.960000001</v>
      </c>
    </row>
    <row r="26" spans="1:5" x14ac:dyDescent="0.25">
      <c r="A26" s="5">
        <v>45397</v>
      </c>
      <c r="B26" s="24" t="s">
        <v>4112</v>
      </c>
      <c r="C26" s="24" t="s">
        <v>3998</v>
      </c>
      <c r="D26">
        <v>0.14000000000000001</v>
      </c>
      <c r="E26">
        <v>13205136.1</v>
      </c>
    </row>
    <row r="27" spans="1:5" x14ac:dyDescent="0.25">
      <c r="A27" s="5">
        <v>45397</v>
      </c>
      <c r="B27" s="24" t="s">
        <v>4114</v>
      </c>
      <c r="C27" s="24" t="s">
        <v>3899</v>
      </c>
      <c r="D27">
        <v>-7095</v>
      </c>
      <c r="E27">
        <v>13198041.1</v>
      </c>
    </row>
    <row r="28" spans="1:5" x14ac:dyDescent="0.25">
      <c r="A28" s="5">
        <v>45398</v>
      </c>
      <c r="B28" s="24" t="s">
        <v>4117</v>
      </c>
      <c r="C28" s="24" t="s">
        <v>3868</v>
      </c>
      <c r="D28">
        <v>-45900</v>
      </c>
      <c r="E28">
        <v>13152141.1</v>
      </c>
    </row>
    <row r="29" spans="1:5" x14ac:dyDescent="0.25">
      <c r="A29" s="5">
        <v>45398</v>
      </c>
      <c r="B29" s="24" t="s">
        <v>3869</v>
      </c>
      <c r="C29" s="24" t="s">
        <v>3870</v>
      </c>
      <c r="D29">
        <v>-400000</v>
      </c>
      <c r="E29">
        <v>12752141.1</v>
      </c>
    </row>
    <row r="30" spans="1:5" x14ac:dyDescent="0.25">
      <c r="A30" s="5">
        <v>45399</v>
      </c>
      <c r="B30" s="24" t="s">
        <v>3871</v>
      </c>
      <c r="C30" s="24" t="s">
        <v>3872</v>
      </c>
      <c r="D30">
        <v>-170000</v>
      </c>
      <c r="E30">
        <v>12582141.1</v>
      </c>
    </row>
    <row r="31" spans="1:5" x14ac:dyDescent="0.25">
      <c r="A31" s="5">
        <v>45399</v>
      </c>
      <c r="B31" s="24" t="s">
        <v>3876</v>
      </c>
      <c r="C31" s="24" t="s">
        <v>3877</v>
      </c>
      <c r="D31">
        <v>-4500000</v>
      </c>
      <c r="E31">
        <v>8082141.0999999996</v>
      </c>
    </row>
    <row r="32" spans="1:5" x14ac:dyDescent="0.25">
      <c r="A32" s="5">
        <v>45400</v>
      </c>
      <c r="B32" s="24" t="s">
        <v>4118</v>
      </c>
      <c r="C32" s="24" t="s">
        <v>3899</v>
      </c>
      <c r="D32">
        <v>-0.01</v>
      </c>
      <c r="E32">
        <v>8082141.0899999999</v>
      </c>
    </row>
    <row r="33" spans="1:5" x14ac:dyDescent="0.25">
      <c r="A33" s="5">
        <v>45400</v>
      </c>
      <c r="B33" s="24" t="s">
        <v>3894</v>
      </c>
      <c r="C33" s="24" t="s">
        <v>3895</v>
      </c>
      <c r="D33">
        <v>450000</v>
      </c>
      <c r="E33">
        <v>8532141.0899999999</v>
      </c>
    </row>
    <row r="34" spans="1:5" x14ac:dyDescent="0.25">
      <c r="A34" s="5">
        <v>45401</v>
      </c>
      <c r="B34" s="24" t="s">
        <v>3864</v>
      </c>
      <c r="C34" s="24" t="s">
        <v>3896</v>
      </c>
      <c r="D34">
        <v>1200000</v>
      </c>
      <c r="E34">
        <v>9732141.0899999999</v>
      </c>
    </row>
    <row r="35" spans="1:5" x14ac:dyDescent="0.25">
      <c r="A35" s="5">
        <v>45402</v>
      </c>
      <c r="B35" s="24" t="s">
        <v>3884</v>
      </c>
      <c r="C35" s="24" t="s">
        <v>3885</v>
      </c>
      <c r="D35">
        <v>-100000</v>
      </c>
      <c r="E35">
        <v>9632141.0899999999</v>
      </c>
    </row>
    <row r="36" spans="1:5" x14ac:dyDescent="0.25">
      <c r="A36" s="5">
        <v>45403</v>
      </c>
      <c r="B36" s="24" t="s">
        <v>3886</v>
      </c>
      <c r="C36" s="24" t="s">
        <v>3887</v>
      </c>
      <c r="D36">
        <v>-1300000</v>
      </c>
      <c r="E36">
        <v>8332141.0899999999</v>
      </c>
    </row>
    <row r="37" spans="1:5" x14ac:dyDescent="0.25">
      <c r="A37" s="5">
        <v>45404</v>
      </c>
      <c r="B37" s="24" t="s">
        <v>4119</v>
      </c>
      <c r="C37" s="24" t="s">
        <v>3888</v>
      </c>
      <c r="D37">
        <v>-400000</v>
      </c>
      <c r="E37">
        <v>7932141.0899999999</v>
      </c>
    </row>
    <row r="38" spans="1:5" x14ac:dyDescent="0.25">
      <c r="A38" s="5">
        <v>45404</v>
      </c>
      <c r="B38" s="24" t="s">
        <v>3891</v>
      </c>
      <c r="C38" s="24" t="s">
        <v>3892</v>
      </c>
      <c r="D38">
        <v>-250000</v>
      </c>
      <c r="E38">
        <v>7682141.0899999999</v>
      </c>
    </row>
    <row r="39" spans="1:5" x14ac:dyDescent="0.25">
      <c r="A39" s="5">
        <v>45405</v>
      </c>
      <c r="B39" s="24" t="s">
        <v>4120</v>
      </c>
      <c r="C39" s="24" t="s">
        <v>3893</v>
      </c>
      <c r="D39">
        <v>-30000</v>
      </c>
      <c r="E39">
        <v>7652141.0899999999</v>
      </c>
    </row>
    <row r="40" spans="1:5" x14ac:dyDescent="0.25">
      <c r="A40" s="5">
        <v>45406</v>
      </c>
      <c r="B40" s="24" t="s">
        <v>3864</v>
      </c>
      <c r="C40" s="24" t="s">
        <v>3897</v>
      </c>
      <c r="D40">
        <v>1800000</v>
      </c>
      <c r="E40">
        <v>9452141.0899999999</v>
      </c>
    </row>
    <row r="41" spans="1:5" x14ac:dyDescent="0.25">
      <c r="A41" s="5">
        <v>45407</v>
      </c>
      <c r="B41" s="24" t="s">
        <v>4121</v>
      </c>
      <c r="C41" s="24" t="s">
        <v>3898</v>
      </c>
      <c r="D41">
        <v>2000000</v>
      </c>
      <c r="E41">
        <v>11452141.09</v>
      </c>
    </row>
  </sheetData>
  <phoneticPr fontId="6" type="noConversion"/>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2"/>
  <sheetViews>
    <sheetView zoomScale="50" zoomScaleNormal="50" workbookViewId="0">
      <selection activeCell="I30" sqref="I30"/>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20.42578125" bestFit="1" customWidth="1"/>
    <col min="9" max="9" width="16.5703125" bestFit="1" customWidth="1"/>
  </cols>
  <sheetData>
    <row r="7" spans="2:9" ht="20.25" x14ac:dyDescent="0.3">
      <c r="B7" s="73" t="s">
        <v>3726</v>
      </c>
      <c r="C7" s="74"/>
      <c r="D7" s="72" t="s">
        <v>3732</v>
      </c>
      <c r="E7" s="72"/>
      <c r="F7" s="72"/>
    </row>
    <row r="8" spans="2:9" ht="20.25" x14ac:dyDescent="0.3">
      <c r="B8" s="82" t="s">
        <v>3728</v>
      </c>
      <c r="C8" s="82"/>
      <c r="D8" s="72">
        <v>900235498</v>
      </c>
      <c r="E8" s="72"/>
      <c r="F8" s="72"/>
    </row>
    <row r="9" spans="2:9" ht="20.25" x14ac:dyDescent="0.3">
      <c r="B9" s="82" t="s">
        <v>3730</v>
      </c>
      <c r="C9" s="82"/>
      <c r="D9" s="72" t="s">
        <v>3733</v>
      </c>
      <c r="E9" s="72"/>
      <c r="F9" s="72"/>
    </row>
    <row r="10" spans="2:9" ht="20.25" x14ac:dyDescent="0.3">
      <c r="B10" s="82" t="s">
        <v>3823</v>
      </c>
      <c r="C10" s="82"/>
      <c r="D10" s="72" t="s">
        <v>3824</v>
      </c>
      <c r="E10" s="72"/>
      <c r="F10" s="72"/>
    </row>
    <row r="11" spans="2:9" ht="20.25" x14ac:dyDescent="0.3">
      <c r="B11" s="25" t="s">
        <v>3836</v>
      </c>
      <c r="C11" s="26"/>
      <c r="D11" s="25" t="s">
        <v>3837</v>
      </c>
    </row>
    <row r="13" spans="2:9" ht="18.75" x14ac:dyDescent="0.25">
      <c r="B13" s="83" t="s">
        <v>3838</v>
      </c>
      <c r="C13" s="84"/>
      <c r="D13" s="84"/>
      <c r="E13" s="85"/>
    </row>
    <row r="14" spans="2:9" x14ac:dyDescent="0.25">
      <c r="B14" s="27" t="s">
        <v>3828</v>
      </c>
      <c r="C14" s="28">
        <v>10000000</v>
      </c>
      <c r="D14" s="29" t="s">
        <v>3829</v>
      </c>
      <c r="E14" s="30">
        <v>13791</v>
      </c>
    </row>
    <row r="15" spans="2:9" x14ac:dyDescent="0.25">
      <c r="B15" s="31" t="s">
        <v>3830</v>
      </c>
      <c r="C15" s="32">
        <v>28000</v>
      </c>
      <c r="D15" s="33" t="s">
        <v>3831</v>
      </c>
      <c r="E15" s="34">
        <v>0</v>
      </c>
      <c r="I15" s="4"/>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6" t="s">
        <v>3718</v>
      </c>
      <c r="C19" s="46" t="s">
        <v>3819</v>
      </c>
      <c r="D19" s="46" t="s">
        <v>3820</v>
      </c>
      <c r="E19" s="47" t="s">
        <v>3780</v>
      </c>
      <c r="F19" s="47" t="s">
        <v>3821</v>
      </c>
    </row>
    <row r="20" spans="2:6" x14ac:dyDescent="0.25">
      <c r="B20" s="43">
        <v>45383</v>
      </c>
      <c r="C20" s="58" t="s">
        <v>4048</v>
      </c>
      <c r="D20" s="58" t="s">
        <v>3998</v>
      </c>
      <c r="E20" s="44">
        <v>0.31</v>
      </c>
      <c r="F20" s="44">
        <v>10000000.310000001</v>
      </c>
    </row>
    <row r="21" spans="2:6" x14ac:dyDescent="0.25">
      <c r="B21" s="5">
        <v>45383</v>
      </c>
      <c r="C21" s="24" t="s">
        <v>4112</v>
      </c>
      <c r="D21" s="24" t="s">
        <v>3998</v>
      </c>
      <c r="E21">
        <v>0.31</v>
      </c>
      <c r="F21">
        <v>10000000.310000001</v>
      </c>
    </row>
    <row r="22" spans="2:6" x14ac:dyDescent="0.25">
      <c r="B22" s="5">
        <v>45384</v>
      </c>
      <c r="C22" s="24" t="s">
        <v>3849</v>
      </c>
      <c r="D22" s="24" t="s">
        <v>3850</v>
      </c>
      <c r="E22">
        <v>3000000</v>
      </c>
      <c r="F22">
        <v>13000000.310000001</v>
      </c>
    </row>
    <row r="23" spans="2:6" x14ac:dyDescent="0.25">
      <c r="B23" s="5">
        <v>45384</v>
      </c>
      <c r="C23" s="24" t="s">
        <v>4112</v>
      </c>
      <c r="D23" s="24" t="s">
        <v>3998</v>
      </c>
      <c r="E23">
        <v>0.1</v>
      </c>
      <c r="F23">
        <v>13000000.41</v>
      </c>
    </row>
    <row r="24" spans="2:6" x14ac:dyDescent="0.25">
      <c r="B24" s="5">
        <v>45385</v>
      </c>
      <c r="C24" s="24" t="s">
        <v>3855</v>
      </c>
      <c r="D24" s="24" t="s">
        <v>3856</v>
      </c>
      <c r="E24">
        <v>5483250</v>
      </c>
      <c r="F24">
        <v>18483250.41</v>
      </c>
    </row>
    <row r="25" spans="2:6" x14ac:dyDescent="0.25">
      <c r="B25" s="5">
        <v>45385</v>
      </c>
      <c r="C25" s="24" t="s">
        <v>4113</v>
      </c>
      <c r="D25" s="24" t="s">
        <v>4004</v>
      </c>
      <c r="E25">
        <v>28000</v>
      </c>
      <c r="F25">
        <v>18511250.41</v>
      </c>
    </row>
    <row r="26" spans="2:6" x14ac:dyDescent="0.25">
      <c r="B26" s="5">
        <v>45385</v>
      </c>
      <c r="C26" s="24" t="s">
        <v>4050</v>
      </c>
      <c r="D26" s="24" t="s">
        <v>3859</v>
      </c>
      <c r="E26">
        <v>1780000</v>
      </c>
      <c r="F26">
        <v>20291250.41</v>
      </c>
    </row>
    <row r="27" spans="2:6" x14ac:dyDescent="0.25">
      <c r="B27" s="5">
        <v>45385</v>
      </c>
      <c r="C27" s="24" t="s">
        <v>3846</v>
      </c>
      <c r="D27" s="24" t="s">
        <v>3845</v>
      </c>
      <c r="E27">
        <v>-50530</v>
      </c>
      <c r="F27">
        <v>20240720.41</v>
      </c>
    </row>
    <row r="28" spans="2:6" x14ac:dyDescent="0.25">
      <c r="B28" s="5">
        <v>45386</v>
      </c>
      <c r="C28" s="24" t="s">
        <v>3847</v>
      </c>
      <c r="D28" s="24" t="s">
        <v>3848</v>
      </c>
      <c r="E28">
        <v>-5283000</v>
      </c>
      <c r="F28">
        <v>14957720.41</v>
      </c>
    </row>
    <row r="29" spans="2:6" x14ac:dyDescent="0.25">
      <c r="B29" s="5">
        <v>45386</v>
      </c>
      <c r="C29" s="24" t="s">
        <v>4112</v>
      </c>
      <c r="D29" s="24" t="s">
        <v>3998</v>
      </c>
      <c r="E29">
        <v>0.15</v>
      </c>
      <c r="F29">
        <v>14957720.560000001</v>
      </c>
    </row>
    <row r="30" spans="2:6" x14ac:dyDescent="0.25">
      <c r="B30" s="5">
        <v>45386</v>
      </c>
      <c r="C30" s="24" t="s">
        <v>3864</v>
      </c>
      <c r="D30" s="24" t="s">
        <v>3865</v>
      </c>
      <c r="E30">
        <v>780000</v>
      </c>
      <c r="F30">
        <v>15737720.560000001</v>
      </c>
    </row>
    <row r="31" spans="2:6" x14ac:dyDescent="0.25">
      <c r="B31" s="5">
        <v>45388</v>
      </c>
      <c r="C31" s="24" t="s">
        <v>4114</v>
      </c>
      <c r="D31" s="24" t="s">
        <v>3899</v>
      </c>
      <c r="E31">
        <v>-7095</v>
      </c>
      <c r="F31">
        <v>15730625.560000001</v>
      </c>
    </row>
    <row r="32" spans="2:6" x14ac:dyDescent="0.25">
      <c r="B32" s="5">
        <v>45388</v>
      </c>
      <c r="C32" s="24" t="s">
        <v>3873</v>
      </c>
      <c r="D32" s="24" t="s">
        <v>3874</v>
      </c>
      <c r="E32">
        <v>1965000</v>
      </c>
      <c r="F32">
        <v>17695625.559999999</v>
      </c>
    </row>
    <row r="33" spans="2:6" x14ac:dyDescent="0.25">
      <c r="B33" s="5">
        <v>45389</v>
      </c>
      <c r="C33" s="24" t="s">
        <v>4112</v>
      </c>
      <c r="D33" s="24" t="s">
        <v>3998</v>
      </c>
      <c r="E33">
        <v>0.32</v>
      </c>
      <c r="F33">
        <v>17695625.879999999</v>
      </c>
    </row>
    <row r="34" spans="2:6" x14ac:dyDescent="0.25">
      <c r="B34" s="5">
        <v>45389</v>
      </c>
      <c r="C34" s="24" t="s">
        <v>4115</v>
      </c>
      <c r="D34" s="24" t="s">
        <v>4003</v>
      </c>
      <c r="E34">
        <v>-20000</v>
      </c>
      <c r="F34">
        <v>17675625.879999999</v>
      </c>
    </row>
    <row r="35" spans="2:6" x14ac:dyDescent="0.25">
      <c r="B35" s="5">
        <v>45389</v>
      </c>
      <c r="C35" s="24" t="s">
        <v>4116</v>
      </c>
      <c r="D35" s="24" t="s">
        <v>3899</v>
      </c>
      <c r="E35">
        <v>-2490</v>
      </c>
      <c r="F35">
        <v>17673135.879999999</v>
      </c>
    </row>
    <row r="36" spans="2:6" x14ac:dyDescent="0.25">
      <c r="B36" s="5">
        <v>45392</v>
      </c>
      <c r="C36" s="24" t="s">
        <v>4112</v>
      </c>
      <c r="D36" s="24" t="s">
        <v>3998</v>
      </c>
      <c r="E36">
        <v>0.08</v>
      </c>
      <c r="F36">
        <v>17673135.960000001</v>
      </c>
    </row>
    <row r="37" spans="2:6" x14ac:dyDescent="0.25">
      <c r="B37" s="5">
        <v>45393</v>
      </c>
      <c r="C37" s="24" t="s">
        <v>3851</v>
      </c>
      <c r="D37" s="24" t="s">
        <v>3852</v>
      </c>
      <c r="E37">
        <v>-1600000</v>
      </c>
      <c r="F37">
        <v>16073135.960000001</v>
      </c>
    </row>
    <row r="38" spans="2:6" x14ac:dyDescent="0.25">
      <c r="B38" s="5">
        <v>45393</v>
      </c>
      <c r="C38" s="24" t="s">
        <v>3853</v>
      </c>
      <c r="D38" s="24" t="s">
        <v>3854</v>
      </c>
      <c r="E38">
        <v>-1600000</v>
      </c>
      <c r="F38">
        <v>14473135.960000001</v>
      </c>
    </row>
    <row r="39" spans="2:6" x14ac:dyDescent="0.25">
      <c r="B39" s="5">
        <v>45395</v>
      </c>
      <c r="C39" s="24" t="s">
        <v>3857</v>
      </c>
      <c r="D39" s="24" t="s">
        <v>3858</v>
      </c>
      <c r="E39">
        <v>-260000</v>
      </c>
      <c r="F39">
        <v>14213135.960000001</v>
      </c>
    </row>
    <row r="40" spans="2:6" x14ac:dyDescent="0.25">
      <c r="B40" s="5">
        <v>45395</v>
      </c>
      <c r="C40" s="24" t="s">
        <v>3860</v>
      </c>
      <c r="D40" s="24" t="s">
        <v>3861</v>
      </c>
      <c r="E40">
        <v>-238000</v>
      </c>
      <c r="F40">
        <v>13975135.960000001</v>
      </c>
    </row>
    <row r="41" spans="2:6" x14ac:dyDescent="0.25">
      <c r="B41" s="5">
        <v>45396</v>
      </c>
      <c r="C41" s="24" t="s">
        <v>3862</v>
      </c>
      <c r="D41" s="24" t="s">
        <v>3863</v>
      </c>
      <c r="E41">
        <v>-7000000</v>
      </c>
      <c r="F41">
        <v>6975135.96</v>
      </c>
    </row>
    <row r="42" spans="2:6" x14ac:dyDescent="0.25">
      <c r="B42" s="5">
        <v>45396</v>
      </c>
      <c r="C42" s="24" t="s">
        <v>3842</v>
      </c>
      <c r="D42" s="24" t="s">
        <v>3843</v>
      </c>
      <c r="E42">
        <v>2000000</v>
      </c>
      <c r="F42">
        <v>8975135.9600000009</v>
      </c>
    </row>
    <row r="43" spans="2:6" x14ac:dyDescent="0.25">
      <c r="B43" s="5">
        <v>45396</v>
      </c>
      <c r="C43" s="24" t="s">
        <v>4050</v>
      </c>
      <c r="D43" s="24" t="s">
        <v>3844</v>
      </c>
      <c r="E43">
        <v>430000</v>
      </c>
      <c r="F43">
        <v>9405135.9600000009</v>
      </c>
    </row>
    <row r="44" spans="2:6" x14ac:dyDescent="0.25">
      <c r="B44" s="5">
        <v>45397</v>
      </c>
      <c r="C44" s="24" t="s">
        <v>3880</v>
      </c>
      <c r="D44" s="24" t="s">
        <v>3881</v>
      </c>
      <c r="E44">
        <v>3800000</v>
      </c>
      <c r="F44">
        <v>13205135.960000001</v>
      </c>
    </row>
    <row r="45" spans="2:6" x14ac:dyDescent="0.25">
      <c r="B45" s="5">
        <v>45397</v>
      </c>
      <c r="C45" s="24" t="s">
        <v>4112</v>
      </c>
      <c r="D45" s="24" t="s">
        <v>3998</v>
      </c>
      <c r="E45">
        <v>0.14000000000000001</v>
      </c>
      <c r="F45">
        <v>13205136.1</v>
      </c>
    </row>
    <row r="46" spans="2:6" x14ac:dyDescent="0.25">
      <c r="B46" s="5">
        <v>45397</v>
      </c>
      <c r="C46" s="24" t="s">
        <v>4114</v>
      </c>
      <c r="D46" s="24" t="s">
        <v>3899</v>
      </c>
      <c r="E46">
        <v>-7095</v>
      </c>
      <c r="F46">
        <v>13198041.1</v>
      </c>
    </row>
    <row r="47" spans="2:6" x14ac:dyDescent="0.25">
      <c r="B47" s="5">
        <v>45398</v>
      </c>
      <c r="C47" s="24" t="s">
        <v>4117</v>
      </c>
      <c r="D47" s="24" t="s">
        <v>3868</v>
      </c>
      <c r="E47">
        <v>-45900</v>
      </c>
      <c r="F47">
        <v>13152141.1</v>
      </c>
    </row>
    <row r="48" spans="2:6" x14ac:dyDescent="0.25">
      <c r="B48" s="5">
        <v>45398</v>
      </c>
      <c r="C48" s="24" t="s">
        <v>3869</v>
      </c>
      <c r="D48" s="24" t="s">
        <v>3870</v>
      </c>
      <c r="E48">
        <v>-400000</v>
      </c>
      <c r="F48">
        <v>12752141.1</v>
      </c>
    </row>
    <row r="49" spans="1:7" x14ac:dyDescent="0.25">
      <c r="B49" s="5">
        <v>45399</v>
      </c>
      <c r="C49" s="24" t="s">
        <v>3871</v>
      </c>
      <c r="D49" s="24" t="s">
        <v>3872</v>
      </c>
      <c r="E49">
        <v>-170000</v>
      </c>
      <c r="F49">
        <v>12582141.1</v>
      </c>
    </row>
    <row r="50" spans="1:7" x14ac:dyDescent="0.25">
      <c r="B50" s="5">
        <v>45399</v>
      </c>
      <c r="C50" s="24" t="s">
        <v>3876</v>
      </c>
      <c r="D50" s="24" t="s">
        <v>3877</v>
      </c>
      <c r="E50">
        <v>-4500000</v>
      </c>
      <c r="F50">
        <v>8082141.0999999996</v>
      </c>
    </row>
    <row r="51" spans="1:7" x14ac:dyDescent="0.25">
      <c r="B51" s="5">
        <v>45400</v>
      </c>
      <c r="C51" s="24" t="s">
        <v>4118</v>
      </c>
      <c r="D51" s="24" t="s">
        <v>3899</v>
      </c>
      <c r="E51">
        <v>-0.01</v>
      </c>
      <c r="F51">
        <v>8082141.0899999999</v>
      </c>
    </row>
    <row r="52" spans="1:7" x14ac:dyDescent="0.25">
      <c r="B52" s="5">
        <v>45400</v>
      </c>
      <c r="C52" s="24" t="s">
        <v>3894</v>
      </c>
      <c r="D52" s="24" t="s">
        <v>3895</v>
      </c>
      <c r="E52">
        <v>450000</v>
      </c>
      <c r="F52">
        <v>8532141.0899999999</v>
      </c>
    </row>
    <row r="53" spans="1:7" x14ac:dyDescent="0.25">
      <c r="B53" s="5">
        <v>45401</v>
      </c>
      <c r="C53" s="24" t="s">
        <v>3864</v>
      </c>
      <c r="D53" s="24" t="s">
        <v>3896</v>
      </c>
      <c r="E53">
        <v>1200000</v>
      </c>
      <c r="F53">
        <v>9732141.0899999999</v>
      </c>
    </row>
    <row r="54" spans="1:7" x14ac:dyDescent="0.25">
      <c r="B54" s="5">
        <v>45402</v>
      </c>
      <c r="C54" s="24" t="s">
        <v>3884</v>
      </c>
      <c r="D54" s="24" t="s">
        <v>3885</v>
      </c>
      <c r="E54">
        <v>-100000</v>
      </c>
      <c r="F54">
        <v>9632141.0899999999</v>
      </c>
    </row>
    <row r="55" spans="1:7" x14ac:dyDescent="0.25">
      <c r="B55" s="5">
        <v>45403</v>
      </c>
      <c r="C55" s="24" t="s">
        <v>3886</v>
      </c>
      <c r="D55" s="24" t="s">
        <v>3887</v>
      </c>
      <c r="E55">
        <v>-1300000</v>
      </c>
      <c r="F55">
        <v>8332141.0899999999</v>
      </c>
    </row>
    <row r="56" spans="1:7" x14ac:dyDescent="0.25">
      <c r="B56" s="5">
        <v>45404</v>
      </c>
      <c r="C56" s="24" t="s">
        <v>4119</v>
      </c>
      <c r="D56" s="24" t="s">
        <v>3888</v>
      </c>
      <c r="E56">
        <v>-400000</v>
      </c>
      <c r="F56">
        <v>7932141.0899999999</v>
      </c>
    </row>
    <row r="57" spans="1:7" x14ac:dyDescent="0.25">
      <c r="B57" s="5">
        <v>45404</v>
      </c>
      <c r="C57" s="24" t="s">
        <v>3891</v>
      </c>
      <c r="D57" s="24" t="s">
        <v>3892</v>
      </c>
      <c r="E57">
        <v>-250000</v>
      </c>
      <c r="F57">
        <v>7682141.0899999999</v>
      </c>
      <c r="G57" s="4"/>
    </row>
    <row r="58" spans="1:7" x14ac:dyDescent="0.25">
      <c r="B58" s="5">
        <v>45405</v>
      </c>
      <c r="C58" s="24" t="s">
        <v>4120</v>
      </c>
      <c r="D58" s="24" t="s">
        <v>3893</v>
      </c>
      <c r="E58">
        <v>-30000</v>
      </c>
      <c r="F58">
        <v>7652141.0899999999</v>
      </c>
    </row>
    <row r="59" spans="1:7" x14ac:dyDescent="0.25">
      <c r="B59" s="5">
        <v>45406</v>
      </c>
      <c r="C59" s="24" t="s">
        <v>3864</v>
      </c>
      <c r="D59" s="24" t="s">
        <v>3897</v>
      </c>
      <c r="E59">
        <v>1800000</v>
      </c>
      <c r="F59">
        <v>9452141.0899999999</v>
      </c>
    </row>
    <row r="60" spans="1:7" x14ac:dyDescent="0.25">
      <c r="B60" s="5">
        <v>45407</v>
      </c>
      <c r="C60" s="24" t="s">
        <v>4121</v>
      </c>
      <c r="D60" s="24" t="s">
        <v>3898</v>
      </c>
      <c r="E60">
        <v>2000000</v>
      </c>
      <c r="F60">
        <v>11452141.09</v>
      </c>
    </row>
    <row r="61" spans="1:7" x14ac:dyDescent="0.25">
      <c r="A61" s="24"/>
      <c r="B61" s="57" t="s">
        <v>4</v>
      </c>
      <c r="C61" s="45"/>
      <c r="D61" s="45"/>
      <c r="E61" s="47">
        <f>SUBTOTAL(109,tbl_extracto[Valor])</f>
        <v>1452141.4000000013</v>
      </c>
      <c r="F61" s="47" cm="1">
        <f t="array" ref="F61">INDEX(tbl_extracto[Saldo], COUNT(tbl_extracto[Saldo]))</f>
        <v>11452141.09</v>
      </c>
    </row>
    <row r="62" spans="1:7" x14ac:dyDescent="0.25">
      <c r="A62" s="24"/>
      <c r="B62" s="24"/>
      <c r="C62" s="24"/>
      <c r="D62" s="39"/>
      <c r="E62" s="39"/>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row r="72" spans="1:2" x14ac:dyDescent="0.25">
      <c r="B72"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zoomScale="80" zoomScaleNormal="80" workbookViewId="0">
      <selection activeCell="I16" sqref="I16"/>
    </sheetView>
  </sheetViews>
  <sheetFormatPr baseColWidth="10" defaultRowHeight="15" x14ac:dyDescent="0.25"/>
  <cols>
    <col min="1" max="2" width="12" customWidth="1"/>
    <col min="3" max="3" width="40.42578125" bestFit="1" customWidth="1"/>
    <col min="4" max="4" width="11.42578125" bestFit="1" customWidth="1"/>
    <col min="5" max="5" width="13.5703125" bestFit="1" customWidth="1"/>
    <col min="6" max="6" width="13.42578125" bestFit="1" customWidth="1"/>
    <col min="7" max="7" width="16.28515625" bestFit="1" customWidth="1"/>
  </cols>
  <sheetData>
    <row r="2" spans="2:7" ht="26.25" x14ac:dyDescent="0.4">
      <c r="C2" s="81" t="s">
        <v>3822</v>
      </c>
      <c r="D2" s="81"/>
      <c r="E2" s="81"/>
      <c r="F2" s="81"/>
      <c r="G2" s="81"/>
    </row>
    <row r="3" spans="2:7" ht="20.25" x14ac:dyDescent="0.3">
      <c r="C3" s="73" t="s">
        <v>3726</v>
      </c>
      <c r="D3" s="74"/>
      <c r="E3" s="78" t="s">
        <v>3732</v>
      </c>
      <c r="F3" s="79"/>
      <c r="G3" s="80"/>
    </row>
    <row r="4" spans="2:7" ht="20.25" x14ac:dyDescent="0.3">
      <c r="C4" s="73" t="s">
        <v>3728</v>
      </c>
      <c r="D4" s="74"/>
      <c r="E4" s="78">
        <v>900235498</v>
      </c>
      <c r="F4" s="79"/>
      <c r="G4" s="80"/>
    </row>
    <row r="5" spans="2:7" ht="20.25" x14ac:dyDescent="0.3">
      <c r="C5" s="73" t="s">
        <v>3730</v>
      </c>
      <c r="D5" s="74"/>
      <c r="E5" s="78" t="s">
        <v>3733</v>
      </c>
      <c r="F5" s="79"/>
      <c r="G5" s="80"/>
    </row>
    <row r="6" spans="2:7" ht="20.25" x14ac:dyDescent="0.3">
      <c r="C6" s="73" t="s">
        <v>3823</v>
      </c>
      <c r="D6" s="74"/>
      <c r="E6" s="78" t="s">
        <v>3824</v>
      </c>
      <c r="F6" s="79"/>
      <c r="G6" s="80"/>
    </row>
    <row r="9" spans="2:7" x14ac:dyDescent="0.25">
      <c r="B9" t="s">
        <v>3718</v>
      </c>
      <c r="C9" t="s">
        <v>3819</v>
      </c>
      <c r="D9" t="s">
        <v>3820</v>
      </c>
      <c r="E9" t="s">
        <v>3900</v>
      </c>
      <c r="F9" t="s">
        <v>3901</v>
      </c>
      <c r="G9" s="4" t="s">
        <v>3902</v>
      </c>
    </row>
    <row r="10" spans="2:7" x14ac:dyDescent="0.25">
      <c r="B10" s="5">
        <v>45383</v>
      </c>
      <c r="C10" t="s">
        <v>4048</v>
      </c>
      <c r="D10" t="s">
        <v>3998</v>
      </c>
      <c r="F10" s="13">
        <v>0.31</v>
      </c>
      <c r="G10" s="13">
        <v>-0.31</v>
      </c>
    </row>
    <row r="11" spans="2:7" x14ac:dyDescent="0.25">
      <c r="B11" s="5">
        <v>45384</v>
      </c>
      <c r="C11" t="s">
        <v>4048</v>
      </c>
      <c r="D11" t="s">
        <v>3998</v>
      </c>
      <c r="F11" s="13">
        <v>0.1</v>
      </c>
      <c r="G11" s="13">
        <v>-0.1</v>
      </c>
    </row>
    <row r="12" spans="2:7" x14ac:dyDescent="0.25">
      <c r="B12" s="5">
        <v>45385</v>
      </c>
      <c r="C12" t="s">
        <v>4049</v>
      </c>
      <c r="D12" t="s">
        <v>4004</v>
      </c>
      <c r="F12" s="13">
        <v>28000</v>
      </c>
      <c r="G12" s="13">
        <v>-28000</v>
      </c>
    </row>
    <row r="13" spans="2:7" x14ac:dyDescent="0.25">
      <c r="B13" s="5">
        <v>45386</v>
      </c>
      <c r="C13" t="s">
        <v>4048</v>
      </c>
      <c r="D13" t="s">
        <v>3998</v>
      </c>
      <c r="F13" s="13">
        <v>0.15</v>
      </c>
      <c r="G13" s="13">
        <v>-0.15</v>
      </c>
    </row>
    <row r="14" spans="2:7" x14ac:dyDescent="0.25">
      <c r="B14" s="5">
        <v>45388</v>
      </c>
      <c r="C14" t="s">
        <v>4052</v>
      </c>
      <c r="D14" t="s">
        <v>3899</v>
      </c>
      <c r="F14" s="13">
        <v>-7095</v>
      </c>
      <c r="G14" s="13">
        <v>-7095</v>
      </c>
    </row>
    <row r="15" spans="2:7" x14ac:dyDescent="0.25">
      <c r="B15" s="5">
        <v>45389</v>
      </c>
      <c r="C15" t="s">
        <v>4048</v>
      </c>
      <c r="D15" t="s">
        <v>3998</v>
      </c>
      <c r="F15" s="13">
        <v>0.32</v>
      </c>
      <c r="G15" s="13">
        <v>-0.32</v>
      </c>
    </row>
    <row r="16" spans="2:7" x14ac:dyDescent="0.25">
      <c r="B16" s="5">
        <v>45389</v>
      </c>
      <c r="C16" t="s">
        <v>4053</v>
      </c>
      <c r="D16" t="s">
        <v>4003</v>
      </c>
      <c r="F16" s="13">
        <v>-20000</v>
      </c>
      <c r="G16" s="13">
        <v>-20000</v>
      </c>
    </row>
    <row r="17" spans="2:7" x14ac:dyDescent="0.25">
      <c r="B17" s="5">
        <v>45389</v>
      </c>
      <c r="C17" t="s">
        <v>4054</v>
      </c>
      <c r="D17" t="s">
        <v>3899</v>
      </c>
      <c r="F17" s="13">
        <v>-2490</v>
      </c>
      <c r="G17" s="13">
        <v>-2490</v>
      </c>
    </row>
    <row r="18" spans="2:7" x14ac:dyDescent="0.25">
      <c r="B18" s="5">
        <v>45392</v>
      </c>
      <c r="C18" t="s">
        <v>4048</v>
      </c>
      <c r="D18" t="s">
        <v>3998</v>
      </c>
      <c r="F18" s="13">
        <v>0.08</v>
      </c>
      <c r="G18" s="13">
        <v>-0.08</v>
      </c>
    </row>
    <row r="19" spans="2:7" x14ac:dyDescent="0.25">
      <c r="B19" s="5">
        <v>45397</v>
      </c>
      <c r="C19" t="s">
        <v>4048</v>
      </c>
      <c r="D19" t="s">
        <v>3998</v>
      </c>
      <c r="F19" s="13">
        <v>0.14000000000000001</v>
      </c>
      <c r="G19" s="13">
        <v>-0.14000000000000001</v>
      </c>
    </row>
    <row r="20" spans="2:7" x14ac:dyDescent="0.25">
      <c r="B20" s="5">
        <v>45397</v>
      </c>
      <c r="C20" t="s">
        <v>4052</v>
      </c>
      <c r="D20" t="s">
        <v>3899</v>
      </c>
      <c r="F20" s="13">
        <v>-7095</v>
      </c>
      <c r="G20" s="13">
        <v>-7095</v>
      </c>
    </row>
    <row r="21" spans="2:7" x14ac:dyDescent="0.25">
      <c r="B21" s="5">
        <v>45400</v>
      </c>
      <c r="C21" t="s">
        <v>4055</v>
      </c>
      <c r="D21" t="s">
        <v>3899</v>
      </c>
      <c r="F21" s="13">
        <v>-0.01</v>
      </c>
      <c r="G21" s="13">
        <v>-0.01</v>
      </c>
    </row>
    <row r="22" spans="2:7" x14ac:dyDescent="0.25">
      <c r="B22" s="5">
        <v>45406</v>
      </c>
      <c r="C22" t="s">
        <v>4051</v>
      </c>
      <c r="D22" t="s">
        <v>3897</v>
      </c>
      <c r="F22" s="13">
        <v>1800000</v>
      </c>
      <c r="G22" s="13">
        <v>-1800000</v>
      </c>
    </row>
    <row r="23" spans="2:7" x14ac:dyDescent="0.25">
      <c r="B23" s="5">
        <v>45407</v>
      </c>
      <c r="C23" t="s">
        <v>4056</v>
      </c>
      <c r="D23" t="s">
        <v>3898</v>
      </c>
      <c r="F23" s="13">
        <v>2000000</v>
      </c>
      <c r="G23" s="13">
        <v>-2000000</v>
      </c>
    </row>
    <row r="24" spans="2:7" x14ac:dyDescent="0.25">
      <c r="B24" s="5">
        <v>45416</v>
      </c>
      <c r="C24" t="s">
        <v>3866</v>
      </c>
      <c r="D24" t="s">
        <v>3867</v>
      </c>
      <c r="E24" s="60">
        <v>980000</v>
      </c>
      <c r="F24" s="13"/>
      <c r="G24" s="13">
        <v>980000</v>
      </c>
    </row>
    <row r="25" spans="2:7" x14ac:dyDescent="0.25">
      <c r="B25" s="5">
        <v>45447</v>
      </c>
      <c r="C25" t="s">
        <v>4050</v>
      </c>
      <c r="D25" t="s">
        <v>3875</v>
      </c>
      <c r="E25" s="60">
        <v>250000</v>
      </c>
      <c r="F25" s="13"/>
      <c r="G25" s="13">
        <v>250000</v>
      </c>
    </row>
    <row r="26" spans="2:7" x14ac:dyDescent="0.25">
      <c r="B26" s="5">
        <v>45447</v>
      </c>
      <c r="C26" t="s">
        <v>3878</v>
      </c>
      <c r="D26" t="s">
        <v>3879</v>
      </c>
      <c r="E26" s="60">
        <v>2300000</v>
      </c>
      <c r="F26" s="13"/>
      <c r="G26" s="13">
        <v>2300000</v>
      </c>
    </row>
    <row r="27" spans="2:7" x14ac:dyDescent="0.25">
      <c r="B27" s="5">
        <v>45477</v>
      </c>
      <c r="C27" t="s">
        <v>3882</v>
      </c>
      <c r="D27" t="s">
        <v>3883</v>
      </c>
      <c r="E27" s="60">
        <v>270000</v>
      </c>
      <c r="F27" s="13"/>
      <c r="G27" s="13">
        <v>270000</v>
      </c>
    </row>
    <row r="28" spans="2:7" x14ac:dyDescent="0.25">
      <c r="B28" s="5">
        <v>45539</v>
      </c>
      <c r="C28" t="s">
        <v>3889</v>
      </c>
      <c r="D28" t="s">
        <v>3890</v>
      </c>
      <c r="E28" s="60">
        <v>1200000</v>
      </c>
      <c r="F28" s="13"/>
      <c r="G28" s="13">
        <v>1200000</v>
      </c>
    </row>
    <row r="29" spans="2:7" x14ac:dyDescent="0.25">
      <c r="B29" s="5">
        <v>45326</v>
      </c>
      <c r="C29" t="s">
        <v>3849</v>
      </c>
      <c r="D29" t="s">
        <v>3850</v>
      </c>
      <c r="E29" s="60">
        <v>3500000</v>
      </c>
      <c r="F29" s="13">
        <v>3000000</v>
      </c>
      <c r="G29" s="13">
        <v>500000</v>
      </c>
    </row>
    <row r="30" spans="2:7" x14ac:dyDescent="0.25">
      <c r="B30" s="5">
        <v>45386</v>
      </c>
      <c r="C30" t="s">
        <v>3864</v>
      </c>
      <c r="D30" t="s">
        <v>3865</v>
      </c>
      <c r="E30" s="60">
        <v>750000</v>
      </c>
      <c r="F30" s="13">
        <v>780000</v>
      </c>
      <c r="G30" s="13">
        <v>-30000</v>
      </c>
    </row>
    <row r="31" spans="2:7" x14ac:dyDescent="0.25">
      <c r="B31" s="5">
        <v>45355</v>
      </c>
      <c r="C31" t="s">
        <v>3857</v>
      </c>
      <c r="D31" t="s">
        <v>3858</v>
      </c>
      <c r="E31" s="60">
        <v>360000</v>
      </c>
      <c r="F31" s="13">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80"/>
  <sheetViews>
    <sheetView showGridLines="0" zoomScale="92" workbookViewId="0"/>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1" t="s">
        <v>3822</v>
      </c>
      <c r="D1" s="81"/>
      <c r="E1" s="81"/>
      <c r="F1" s="81"/>
      <c r="G1" s="81"/>
    </row>
    <row r="2" spans="3:19" ht="20.25" x14ac:dyDescent="0.3">
      <c r="C2" s="73" t="s">
        <v>3726</v>
      </c>
      <c r="D2" s="74"/>
      <c r="E2" s="78" t="s">
        <v>3732</v>
      </c>
      <c r="F2" s="79"/>
      <c r="G2" s="80"/>
    </row>
    <row r="3" spans="3:19" ht="20.25" x14ac:dyDescent="0.3">
      <c r="C3" s="73" t="s">
        <v>3728</v>
      </c>
      <c r="D3" s="74"/>
      <c r="E3" s="78">
        <v>900235498</v>
      </c>
      <c r="F3" s="79"/>
      <c r="G3" s="80"/>
    </row>
    <row r="4" spans="3:19" ht="20.25" x14ac:dyDescent="0.3">
      <c r="C4" s="73" t="s">
        <v>3730</v>
      </c>
      <c r="D4" s="74"/>
      <c r="E4" s="78" t="s">
        <v>3733</v>
      </c>
      <c r="F4" s="79"/>
      <c r="G4" s="80"/>
    </row>
    <row r="5" spans="3:19" ht="20.25" x14ac:dyDescent="0.3">
      <c r="C5" s="73" t="s">
        <v>3823</v>
      </c>
      <c r="D5" s="74"/>
      <c r="E5" s="78" t="s">
        <v>3824</v>
      </c>
      <c r="F5" s="79"/>
      <c r="G5" s="80"/>
    </row>
    <row r="6" spans="3:19" ht="20.25" x14ac:dyDescent="0.3">
      <c r="C6" s="73" t="s">
        <v>3825</v>
      </c>
      <c r="D6" s="74"/>
      <c r="E6" s="78" t="s">
        <v>3826</v>
      </c>
      <c r="F6" s="79"/>
      <c r="G6" s="80"/>
    </row>
    <row r="7" spans="3:19" ht="20.25" x14ac:dyDescent="0.3">
      <c r="C7" s="73" t="s">
        <v>3974</v>
      </c>
      <c r="D7" s="74"/>
      <c r="E7" s="75">
        <f>tbl_libro_auxiliar_bancos[[#Totals],[Saldo]]</f>
        <v>12000000</v>
      </c>
      <c r="F7" s="76"/>
      <c r="G7" s="77"/>
    </row>
    <row r="8" spans="3:19" ht="20.25" x14ac:dyDescent="0.3">
      <c r="C8" s="73" t="s">
        <v>3975</v>
      </c>
      <c r="D8" s="74"/>
      <c r="E8" s="75">
        <f>'Extracto Cta Bancolombia'!F61</f>
        <v>11452141.09</v>
      </c>
      <c r="F8" s="76"/>
      <c r="G8" s="77"/>
    </row>
    <row r="11" spans="3:19" x14ac:dyDescent="0.25">
      <c r="N11" t="s">
        <v>3976</v>
      </c>
      <c r="O11" t="s">
        <v>3935</v>
      </c>
      <c r="P11" t="s">
        <v>3936</v>
      </c>
      <c r="Q11" t="s">
        <v>3937</v>
      </c>
      <c r="R11" t="s">
        <v>3938</v>
      </c>
      <c r="S11" s="4" t="s">
        <v>3939</v>
      </c>
    </row>
    <row r="12" spans="3:19" x14ac:dyDescent="0.25">
      <c r="N12" t="s">
        <v>3988</v>
      </c>
      <c r="O12" t="s">
        <v>3977</v>
      </c>
      <c r="P12" t="s">
        <v>3978</v>
      </c>
      <c r="Q12" t="s">
        <v>3979</v>
      </c>
      <c r="R12" t="s">
        <v>3780</v>
      </c>
      <c r="S12" s="4" t="s">
        <v>3989</v>
      </c>
    </row>
    <row r="13" spans="3:19" x14ac:dyDescent="0.25">
      <c r="C13" s="89" t="s">
        <v>4007</v>
      </c>
      <c r="D13" s="89"/>
      <c r="E13" s="89"/>
      <c r="G13" s="89" t="s">
        <v>4040</v>
      </c>
      <c r="H13" s="89"/>
      <c r="I13" s="89"/>
      <c r="N13" t="s">
        <v>3988</v>
      </c>
      <c r="O13" t="s">
        <v>3980</v>
      </c>
      <c r="P13" t="s">
        <v>3978</v>
      </c>
      <c r="Q13" t="s">
        <v>3981</v>
      </c>
      <c r="R13" t="s">
        <v>3780</v>
      </c>
      <c r="S13" s="4" t="s">
        <v>3990</v>
      </c>
    </row>
    <row r="14" spans="3:19" x14ac:dyDescent="0.25">
      <c r="C14" t="s">
        <v>3819</v>
      </c>
      <c r="D14" t="s">
        <v>3820</v>
      </c>
      <c r="E14" s="4" t="s">
        <v>3780</v>
      </c>
      <c r="G14" t="s">
        <v>3819</v>
      </c>
      <c r="H14" t="s">
        <v>3820</v>
      </c>
      <c r="I14" s="4" t="s">
        <v>3780</v>
      </c>
      <c r="N14" t="s">
        <v>3988</v>
      </c>
      <c r="O14" t="s">
        <v>3982</v>
      </c>
      <c r="P14" t="s">
        <v>3978</v>
      </c>
      <c r="Q14" t="s">
        <v>3984</v>
      </c>
      <c r="R14" t="s">
        <v>3780</v>
      </c>
      <c r="S14" s="4" t="s">
        <v>3991</v>
      </c>
    </row>
    <row r="15" spans="3:19" x14ac:dyDescent="0.25">
      <c r="C15" s="45"/>
      <c r="D15" s="46"/>
      <c r="E15" s="47"/>
      <c r="I15" s="4"/>
      <c r="N15" t="s">
        <v>3988</v>
      </c>
      <c r="O15" t="s">
        <v>3983</v>
      </c>
      <c r="P15" t="s">
        <v>3978</v>
      </c>
      <c r="Q15" t="s">
        <v>3985</v>
      </c>
      <c r="R15" t="s">
        <v>3780</v>
      </c>
      <c r="S15" s="4" t="s">
        <v>3992</v>
      </c>
    </row>
    <row r="16" spans="3:19" x14ac:dyDescent="0.25">
      <c r="C16" s="45" t="s">
        <v>4</v>
      </c>
      <c r="D16" s="46"/>
      <c r="E16" s="47">
        <f>SUBTOTAL(109,tbl_conciliacion_bancaria_2[Valor])</f>
        <v>0</v>
      </c>
      <c r="G16" t="s">
        <v>4</v>
      </c>
      <c r="I16" s="4">
        <f>SUBTOTAL(109,tbl_conciliacion_bancaria_10[Valor])</f>
        <v>0</v>
      </c>
      <c r="N16" t="s">
        <v>3988</v>
      </c>
      <c r="O16" t="s">
        <v>3986</v>
      </c>
      <c r="P16" t="s">
        <v>3978</v>
      </c>
      <c r="Q16" t="s">
        <v>3987</v>
      </c>
      <c r="R16" t="s">
        <v>3780</v>
      </c>
      <c r="S16" s="4" t="s">
        <v>3993</v>
      </c>
    </row>
    <row r="17" spans="3:19" x14ac:dyDescent="0.25">
      <c r="N17" t="s">
        <v>3988</v>
      </c>
      <c r="O17" t="s">
        <v>3994</v>
      </c>
      <c r="P17" t="s">
        <v>3978</v>
      </c>
      <c r="Q17" t="s">
        <v>3995</v>
      </c>
      <c r="R17" t="s">
        <v>3780</v>
      </c>
      <c r="S17" s="4" t="s">
        <v>3996</v>
      </c>
    </row>
    <row r="18" spans="3:19" x14ac:dyDescent="0.25">
      <c r="N18" t="s">
        <v>3988</v>
      </c>
      <c r="O18" t="s">
        <v>3999</v>
      </c>
      <c r="P18" t="s">
        <v>3978</v>
      </c>
      <c r="Q18" t="s">
        <v>4001</v>
      </c>
      <c r="R18" t="s">
        <v>3780</v>
      </c>
      <c r="S18" s="4" t="s">
        <v>4005</v>
      </c>
    </row>
    <row r="19" spans="3:19" x14ac:dyDescent="0.25">
      <c r="C19" s="90" t="s">
        <v>4008</v>
      </c>
      <c r="D19" s="90"/>
      <c r="E19" s="90"/>
      <c r="G19" s="90" t="s">
        <v>4041</v>
      </c>
      <c r="H19" s="90"/>
      <c r="I19" s="90"/>
      <c r="N19" s="46" t="s">
        <v>3988</v>
      </c>
      <c r="O19" s="46" t="s">
        <v>4000</v>
      </c>
      <c r="P19" s="46" t="s">
        <v>3978</v>
      </c>
      <c r="Q19" s="46" t="s">
        <v>4002</v>
      </c>
      <c r="R19" s="46" t="s">
        <v>3780</v>
      </c>
      <c r="S19" s="47" t="s">
        <v>4006</v>
      </c>
    </row>
    <row r="20" spans="3:19" x14ac:dyDescent="0.25">
      <c r="C20" t="s">
        <v>3819</v>
      </c>
      <c r="D20" t="s">
        <v>3820</v>
      </c>
      <c r="E20" s="4" t="s">
        <v>3780</v>
      </c>
      <c r="G20" t="s">
        <v>3819</v>
      </c>
      <c r="H20" t="s">
        <v>3820</v>
      </c>
      <c r="I20" s="4" t="s">
        <v>3780</v>
      </c>
      <c r="N20" s="49" t="s">
        <v>4023</v>
      </c>
      <c r="O20" s="49" t="s">
        <v>4015</v>
      </c>
      <c r="P20" s="49" t="s">
        <v>3978</v>
      </c>
      <c r="Q20" s="49" t="s">
        <v>4024</v>
      </c>
      <c r="R20" s="49" t="s">
        <v>3780</v>
      </c>
      <c r="S20" s="50" t="s">
        <v>4032</v>
      </c>
    </row>
    <row r="21" spans="3:19" x14ac:dyDescent="0.25">
      <c r="C21" s="53"/>
      <c r="D21" s="54"/>
      <c r="E21" s="56"/>
      <c r="I21" s="13"/>
      <c r="N21" s="49" t="s">
        <v>4023</v>
      </c>
      <c r="O21" s="49" t="s">
        <v>4016</v>
      </c>
      <c r="P21" s="49" t="s">
        <v>3978</v>
      </c>
      <c r="Q21" s="49" t="s">
        <v>4025</v>
      </c>
      <c r="R21" s="49" t="s">
        <v>3780</v>
      </c>
      <c r="S21" s="50" t="s">
        <v>4033</v>
      </c>
    </row>
    <row r="22" spans="3:19" x14ac:dyDescent="0.25">
      <c r="C22" s="53" t="s">
        <v>4</v>
      </c>
      <c r="D22" s="54"/>
      <c r="E22" s="55">
        <f>SUBTOTAL(109,tbl_conciliacion_bancaria_3[Valor])</f>
        <v>0</v>
      </c>
      <c r="G22" t="s">
        <v>4</v>
      </c>
      <c r="I22" s="4">
        <f>SUBTOTAL(109,tbl_conciliacion_bancaria_11[Valor])</f>
        <v>0</v>
      </c>
      <c r="N22" s="49" t="s">
        <v>4023</v>
      </c>
      <c r="O22" s="49" t="s">
        <v>4017</v>
      </c>
      <c r="P22" s="49" t="s">
        <v>3978</v>
      </c>
      <c r="Q22" s="49" t="s">
        <v>4026</v>
      </c>
      <c r="R22" s="49" t="s">
        <v>3780</v>
      </c>
      <c r="S22" s="50" t="s">
        <v>4034</v>
      </c>
    </row>
    <row r="23" spans="3:19" x14ac:dyDescent="0.25">
      <c r="N23" s="49" t="s">
        <v>4023</v>
      </c>
      <c r="O23" s="49" t="s">
        <v>4018</v>
      </c>
      <c r="P23" s="49" t="s">
        <v>3978</v>
      </c>
      <c r="Q23" s="49" t="s">
        <v>4027</v>
      </c>
      <c r="R23" s="49" t="s">
        <v>3780</v>
      </c>
      <c r="S23" s="50" t="s">
        <v>4035</v>
      </c>
    </row>
    <row r="24" spans="3:19" x14ac:dyDescent="0.25">
      <c r="N24" s="49" t="s">
        <v>4023</v>
      </c>
      <c r="O24" s="49" t="s">
        <v>4019</v>
      </c>
      <c r="P24" s="49" t="s">
        <v>3978</v>
      </c>
      <c r="Q24" s="49" t="s">
        <v>4028</v>
      </c>
      <c r="R24" s="49" t="s">
        <v>3780</v>
      </c>
      <c r="S24" s="50" t="s">
        <v>3993</v>
      </c>
    </row>
    <row r="25" spans="3:19" x14ac:dyDescent="0.25">
      <c r="C25" s="86" t="s">
        <v>4009</v>
      </c>
      <c r="D25" s="86"/>
      <c r="E25" s="86"/>
      <c r="G25" s="86" t="s">
        <v>4047</v>
      </c>
      <c r="H25" s="86"/>
      <c r="I25" s="86"/>
      <c r="N25" s="49" t="s">
        <v>4023</v>
      </c>
      <c r="O25" s="49" t="s">
        <v>4020</v>
      </c>
      <c r="P25" s="49" t="s">
        <v>3978</v>
      </c>
      <c r="Q25" s="49" t="s">
        <v>4029</v>
      </c>
      <c r="R25" s="49" t="s">
        <v>3780</v>
      </c>
      <c r="S25" s="50" t="s">
        <v>4036</v>
      </c>
    </row>
    <row r="26" spans="3:19" x14ac:dyDescent="0.25">
      <c r="C26" t="s">
        <v>3819</v>
      </c>
      <c r="D26" t="s">
        <v>3820</v>
      </c>
      <c r="E26" s="4" t="s">
        <v>3780</v>
      </c>
      <c r="G26" t="s">
        <v>3819</v>
      </c>
      <c r="H26" t="s">
        <v>3820</v>
      </c>
      <c r="I26" s="4" t="s">
        <v>3780</v>
      </c>
      <c r="N26" s="49" t="s">
        <v>4023</v>
      </c>
      <c r="O26" s="49" t="s">
        <v>4021</v>
      </c>
      <c r="P26" s="49" t="s">
        <v>3978</v>
      </c>
      <c r="Q26" s="49" t="s">
        <v>4030</v>
      </c>
      <c r="R26" s="49" t="s">
        <v>3780</v>
      </c>
      <c r="S26" s="50" t="s">
        <v>4037</v>
      </c>
    </row>
    <row r="27" spans="3:19" x14ac:dyDescent="0.25">
      <c r="C27" s="45"/>
      <c r="D27" s="46"/>
      <c r="E27" s="47"/>
      <c r="I27" s="4"/>
      <c r="N27" s="49" t="s">
        <v>4023</v>
      </c>
      <c r="O27" s="49" t="s">
        <v>4022</v>
      </c>
      <c r="P27" s="49" t="s">
        <v>3978</v>
      </c>
      <c r="Q27" s="49" t="s">
        <v>4031</v>
      </c>
      <c r="R27" s="49" t="s">
        <v>3780</v>
      </c>
      <c r="S27" s="50" t="s">
        <v>4038</v>
      </c>
    </row>
    <row r="28" spans="3:19" x14ac:dyDescent="0.25">
      <c r="C28" s="45" t="s">
        <v>4</v>
      </c>
      <c r="D28" s="46"/>
      <c r="E28" s="47">
        <f>SUBTOTAL(109,tbl_conciliacion_bancaria_4[Valor])</f>
        <v>0</v>
      </c>
      <c r="G28" t="s">
        <v>4</v>
      </c>
      <c r="I28" s="4">
        <f>SUBTOTAL(109,tbl_conciliacion_bancaria_12[Valor])</f>
        <v>0</v>
      </c>
      <c r="N28" t="s">
        <v>4</v>
      </c>
      <c r="O28">
        <f>SUBTOTAL(103,tbl_cociliacion_bancaria_1[nombresTablas])</f>
        <v>16</v>
      </c>
      <c r="S28" s="4">
        <f>SUBTOTAL(109,tbl_cociliacion_bancaria_1[Titulos tablas])</f>
        <v>0</v>
      </c>
    </row>
    <row r="31" spans="3:19" x14ac:dyDescent="0.25">
      <c r="C31" s="87" t="s">
        <v>4010</v>
      </c>
      <c r="D31" s="87"/>
      <c r="E31" s="87"/>
      <c r="G31" s="87" t="s">
        <v>4042</v>
      </c>
      <c r="H31" s="87"/>
      <c r="I31" s="87"/>
    </row>
    <row r="32" spans="3:19" x14ac:dyDescent="0.25">
      <c r="C32" t="s">
        <v>3819</v>
      </c>
      <c r="D32" t="s">
        <v>3820</v>
      </c>
      <c r="E32" s="4" t="s">
        <v>3780</v>
      </c>
      <c r="G32" t="s">
        <v>3819</v>
      </c>
      <c r="H32" t="s">
        <v>3820</v>
      </c>
      <c r="I32" s="4" t="s">
        <v>3780</v>
      </c>
    </row>
    <row r="33" spans="3:9" x14ac:dyDescent="0.25">
      <c r="C33" s="51"/>
      <c r="D33" s="52"/>
      <c r="E33" s="56"/>
      <c r="I33" s="13"/>
    </row>
    <row r="34" spans="3:9" x14ac:dyDescent="0.25">
      <c r="C34" s="51" t="s">
        <v>4</v>
      </c>
      <c r="D34" s="52"/>
      <c r="E34" s="55">
        <f>SUBTOTAL(109,tbl_conciliacion_bancaria_5[Valor])</f>
        <v>0</v>
      </c>
      <c r="G34" t="s">
        <v>4</v>
      </c>
      <c r="I34" s="4">
        <f>SUBTOTAL(109,tbl_conciliacion_bancaria_13[Valor])</f>
        <v>0</v>
      </c>
    </row>
    <row r="37" spans="3:9" x14ac:dyDescent="0.25">
      <c r="C37" s="86" t="s">
        <v>4011</v>
      </c>
      <c r="D37" s="86"/>
      <c r="E37" s="86"/>
      <c r="G37" s="86" t="s">
        <v>4043</v>
      </c>
      <c r="H37" s="86"/>
      <c r="I37" s="86"/>
    </row>
    <row r="38" spans="3:9" x14ac:dyDescent="0.25">
      <c r="C38" t="s">
        <v>3819</v>
      </c>
      <c r="D38" t="s">
        <v>3820</v>
      </c>
      <c r="E38" s="4" t="s">
        <v>3780</v>
      </c>
      <c r="G38" t="s">
        <v>3819</v>
      </c>
      <c r="H38" t="s">
        <v>3820</v>
      </c>
      <c r="I38" s="4" t="s">
        <v>3780</v>
      </c>
    </row>
    <row r="39" spans="3:9" x14ac:dyDescent="0.25">
      <c r="C39" s="46"/>
      <c r="D39" s="46"/>
      <c r="E39" s="47"/>
      <c r="I39" s="4"/>
    </row>
    <row r="40" spans="3:9" x14ac:dyDescent="0.25">
      <c r="C40" s="46" t="s">
        <v>4</v>
      </c>
      <c r="D40" s="46"/>
      <c r="E40" s="47">
        <f>SUBTOTAL(109,tbl_conciliacion_bancaria_6[Valor])</f>
        <v>0</v>
      </c>
      <c r="G40" t="s">
        <v>4</v>
      </c>
      <c r="I40" s="4">
        <f>SUBTOTAL(109,tbl_conciliacion_bancaria_14[Valor])</f>
        <v>0</v>
      </c>
    </row>
    <row r="43" spans="3:9" x14ac:dyDescent="0.25">
      <c r="C43" s="87" t="s">
        <v>4012</v>
      </c>
      <c r="D43" s="87"/>
      <c r="E43" s="87"/>
      <c r="G43" s="87" t="s">
        <v>4044</v>
      </c>
      <c r="H43" s="87"/>
      <c r="I43" s="87"/>
    </row>
    <row r="44" spans="3:9" x14ac:dyDescent="0.25">
      <c r="C44" t="s">
        <v>3819</v>
      </c>
      <c r="D44" t="s">
        <v>3820</v>
      </c>
      <c r="E44" s="4" t="s">
        <v>3780</v>
      </c>
      <c r="G44" t="s">
        <v>3819</v>
      </c>
      <c r="H44" t="s">
        <v>3820</v>
      </c>
      <c r="I44" s="4" t="s">
        <v>3780</v>
      </c>
    </row>
    <row r="45" spans="3:9" x14ac:dyDescent="0.25">
      <c r="C45" s="46"/>
      <c r="D45" s="46"/>
      <c r="E45" s="47"/>
      <c r="I45" s="4"/>
    </row>
    <row r="46" spans="3:9" x14ac:dyDescent="0.25">
      <c r="C46" s="46" t="s">
        <v>4</v>
      </c>
      <c r="D46" s="46"/>
      <c r="E46" s="47">
        <f>SUBTOTAL(109,tbl_conciliacion_bancaria_7[Valor])</f>
        <v>0</v>
      </c>
      <c r="G46" t="s">
        <v>4</v>
      </c>
      <c r="I46" s="4">
        <f>SUBTOTAL(109,tbl_conciliacion_bancaria_15[Valor])</f>
        <v>0</v>
      </c>
    </row>
    <row r="49" spans="3:9" x14ac:dyDescent="0.25">
      <c r="C49" s="86" t="s">
        <v>4013</v>
      </c>
      <c r="D49" s="86"/>
      <c r="E49" s="86"/>
      <c r="G49" s="86" t="s">
        <v>4045</v>
      </c>
      <c r="H49" s="86"/>
      <c r="I49" s="86"/>
    </row>
    <row r="50" spans="3:9" x14ac:dyDescent="0.25">
      <c r="C50" t="s">
        <v>3819</v>
      </c>
      <c r="D50" t="s">
        <v>3820</v>
      </c>
      <c r="E50" s="4" t="s">
        <v>3780</v>
      </c>
      <c r="G50" t="s">
        <v>3819</v>
      </c>
      <c r="H50" t="s">
        <v>3820</v>
      </c>
      <c r="I50" s="4" t="s">
        <v>3780</v>
      </c>
    </row>
    <row r="51" spans="3:9" x14ac:dyDescent="0.25">
      <c r="C51" s="46"/>
      <c r="D51" s="46"/>
      <c r="E51" s="47"/>
      <c r="I51" s="4"/>
    </row>
    <row r="52" spans="3:9" x14ac:dyDescent="0.25">
      <c r="C52" s="46" t="s">
        <v>4</v>
      </c>
      <c r="D52" s="46"/>
      <c r="E52" s="47">
        <f>SUBTOTAL(109,tbl_conciliacion_bancaria_8[Valor])</f>
        <v>0</v>
      </c>
      <c r="G52" t="s">
        <v>4</v>
      </c>
      <c r="I52" s="4">
        <f>SUBTOTAL(109,tbl_conciliacion_bancaria_16[Valor])</f>
        <v>0</v>
      </c>
    </row>
    <row r="55" spans="3:9" x14ac:dyDescent="0.25">
      <c r="C55" s="87" t="s">
        <v>4014</v>
      </c>
      <c r="D55" s="87"/>
      <c r="E55" s="87"/>
      <c r="G55" s="87" t="s">
        <v>4046</v>
      </c>
      <c r="H55" s="87"/>
      <c r="I55" s="87"/>
    </row>
    <row r="56" spans="3:9" x14ac:dyDescent="0.25">
      <c r="C56" t="s">
        <v>3819</v>
      </c>
      <c r="D56" t="s">
        <v>3820</v>
      </c>
      <c r="E56" s="4" t="s">
        <v>3780</v>
      </c>
      <c r="G56" t="s">
        <v>3819</v>
      </c>
      <c r="H56" t="s">
        <v>3820</v>
      </c>
      <c r="I56" s="4" t="s">
        <v>3780</v>
      </c>
    </row>
    <row r="57" spans="3:9" x14ac:dyDescent="0.25">
      <c r="I57" s="4"/>
    </row>
    <row r="58" spans="3:9" x14ac:dyDescent="0.25">
      <c r="C58" t="s">
        <v>4</v>
      </c>
      <c r="E58" s="4">
        <f>SUBTOTAL(109,tbl_conciliacion_bancaria_9[Valor])</f>
        <v>0</v>
      </c>
      <c r="G58" t="s">
        <v>4</v>
      </c>
      <c r="I58" s="4">
        <f>SUBTOTAL(109,tbl_conciliacion_bancaria_17[Valor])</f>
        <v>0</v>
      </c>
    </row>
    <row r="59" spans="3:9" x14ac:dyDescent="0.25">
      <c r="C59" s="88" t="s">
        <v>3997</v>
      </c>
      <c r="D59" s="88"/>
      <c r="E59" s="48">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11452141.09</v>
      </c>
      <c r="G59" s="88" t="s">
        <v>4039</v>
      </c>
      <c r="H59" s="88"/>
      <c r="I59" s="48">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12000000</v>
      </c>
    </row>
    <row r="80" spans="7:7" x14ac:dyDescent="0.25">
      <c r="G80" s="4"/>
    </row>
  </sheetData>
  <mergeCells count="33">
    <mergeCell ref="C59:D59"/>
    <mergeCell ref="C8:D8"/>
    <mergeCell ref="E8:G8"/>
    <mergeCell ref="C13:E13"/>
    <mergeCell ref="C19:E19"/>
    <mergeCell ref="C25:E25"/>
    <mergeCell ref="G13:I13"/>
    <mergeCell ref="G19:I19"/>
    <mergeCell ref="G25:I25"/>
    <mergeCell ref="C31:E31"/>
    <mergeCell ref="C37:E37"/>
    <mergeCell ref="C43:E43"/>
    <mergeCell ref="C49:E49"/>
    <mergeCell ref="G59:H59"/>
    <mergeCell ref="G43:I43"/>
    <mergeCell ref="C55:E55"/>
    <mergeCell ref="G49:I49"/>
    <mergeCell ref="G55:I55"/>
    <mergeCell ref="C4:D4"/>
    <mergeCell ref="E4:G4"/>
    <mergeCell ref="C5:D5"/>
    <mergeCell ref="E5:G5"/>
    <mergeCell ref="G31:I31"/>
    <mergeCell ref="G37:I37"/>
    <mergeCell ref="C6:D6"/>
    <mergeCell ref="E6:G6"/>
    <mergeCell ref="C7:D7"/>
    <mergeCell ref="E7:G7"/>
    <mergeCell ref="C1:G1"/>
    <mergeCell ref="C2:D2"/>
    <mergeCell ref="E2:G2"/>
    <mergeCell ref="C3:D3"/>
    <mergeCell ref="E3:G3"/>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3934</v>
      </c>
      <c r="S14" t="s">
        <v>3935</v>
      </c>
      <c r="T14" t="s">
        <v>3936</v>
      </c>
      <c r="U14" t="s">
        <v>3937</v>
      </c>
      <c r="V14" t="s">
        <v>3938</v>
      </c>
      <c r="W14" s="39" t="s">
        <v>3939</v>
      </c>
    </row>
    <row r="15" spans="2:23" x14ac:dyDescent="0.25">
      <c r="B15">
        <v>5194</v>
      </c>
      <c r="C15" t="s">
        <v>3841</v>
      </c>
      <c r="D15" s="39"/>
      <c r="E15" s="39"/>
      <c r="S15" t="s">
        <v>3957</v>
      </c>
      <c r="T15" s="42" t="s">
        <v>3960</v>
      </c>
      <c r="U15" t="s">
        <v>3958</v>
      </c>
      <c r="V15" t="s">
        <v>3962</v>
      </c>
      <c r="W15" s="24" t="s">
        <v>3959</v>
      </c>
    </row>
    <row r="16" spans="2:23" x14ac:dyDescent="0.25">
      <c r="B16">
        <v>1345</v>
      </c>
      <c r="C16" t="s">
        <v>350</v>
      </c>
      <c r="D16" s="39"/>
      <c r="E16" s="39"/>
      <c r="S16" t="s">
        <v>3967</v>
      </c>
      <c r="T16" s="42" t="s">
        <v>3960</v>
      </c>
      <c r="U16" t="s">
        <v>3961</v>
      </c>
      <c r="V16" t="s">
        <v>3962</v>
      </c>
      <c r="W16" s="24" t="s">
        <v>3963</v>
      </c>
    </row>
    <row r="17" spans="2:23" x14ac:dyDescent="0.25">
      <c r="B17">
        <v>1295</v>
      </c>
      <c r="C17" t="s">
        <v>222</v>
      </c>
      <c r="D17" s="39"/>
      <c r="E17" s="39"/>
      <c r="S17" t="s">
        <v>3966</v>
      </c>
      <c r="T17" s="42" t="s">
        <v>3960</v>
      </c>
      <c r="U17" t="s">
        <v>3965</v>
      </c>
      <c r="V17" t="s">
        <v>3962</v>
      </c>
      <c r="W17" s="24" t="s">
        <v>3964</v>
      </c>
    </row>
    <row r="18" spans="2:23" x14ac:dyDescent="0.25">
      <c r="B18" t="s">
        <v>4</v>
      </c>
      <c r="D18" s="39">
        <f>SUBTOTAL(109,tbl_libro_instrumentos_financieros_116[Debe])</f>
        <v>0</v>
      </c>
      <c r="E18" s="39">
        <f>SUBTOTAL(109,tbl_libro_instrumentos_financieros_116[Haber])</f>
        <v>0</v>
      </c>
      <c r="S18" t="s">
        <v>3968</v>
      </c>
      <c r="T18" s="42" t="s">
        <v>3960</v>
      </c>
      <c r="U18" t="s">
        <v>3970</v>
      </c>
      <c r="V18" t="s">
        <v>3962</v>
      </c>
      <c r="W18" s="24" t="s">
        <v>3969</v>
      </c>
    </row>
    <row r="19" spans="2:23" x14ac:dyDescent="0.25">
      <c r="S19" t="s">
        <v>3971</v>
      </c>
      <c r="T19" s="42" t="s">
        <v>3960</v>
      </c>
      <c r="U19" t="s">
        <v>3973</v>
      </c>
      <c r="V19" t="s">
        <v>3962</v>
      </c>
      <c r="W19" s="24" t="s">
        <v>3972</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3903</v>
      </c>
    </row>
    <row r="59" spans="2:5" x14ac:dyDescent="0.25">
      <c r="B59" t="s">
        <v>3839</v>
      </c>
      <c r="C59" t="s">
        <v>0</v>
      </c>
      <c r="D59" s="4" t="s">
        <v>2</v>
      </c>
      <c r="E59" s="4" t="s">
        <v>3</v>
      </c>
    </row>
    <row r="60" spans="2:5" x14ac:dyDescent="0.25">
      <c r="B60">
        <v>1295</v>
      </c>
      <c r="C60" t="s">
        <v>3907</v>
      </c>
      <c r="D60" s="4">
        <v>10000000</v>
      </c>
      <c r="E60" s="4"/>
    </row>
    <row r="61" spans="2:5" x14ac:dyDescent="0.25">
      <c r="B61">
        <v>1110</v>
      </c>
      <c r="C61" t="s">
        <v>3908</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3909</v>
      </c>
      <c r="C72">
        <v>10000000</v>
      </c>
    </row>
    <row r="73" spans="2:6" x14ac:dyDescent="0.25">
      <c r="B73" t="s">
        <v>3910</v>
      </c>
      <c r="C73" s="40">
        <v>0.12</v>
      </c>
    </row>
    <row r="76" spans="2:6" x14ac:dyDescent="0.25">
      <c r="B76" t="s">
        <v>3911</v>
      </c>
    </row>
    <row r="77" spans="2:6" x14ac:dyDescent="0.25">
      <c r="B77" t="s">
        <v>3912</v>
      </c>
      <c r="C77" s="39" t="s">
        <v>3913</v>
      </c>
      <c r="D77" s="39" t="s">
        <v>3914</v>
      </c>
      <c r="E77" s="39" t="s">
        <v>3915</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3916</v>
      </c>
      <c r="D88" t="s">
        <v>3919</v>
      </c>
      <c r="E88" t="s">
        <v>3920</v>
      </c>
      <c r="F88" t="s">
        <v>3921</v>
      </c>
      <c r="G88" t="s">
        <v>3922</v>
      </c>
    </row>
    <row r="89" spans="2:7" x14ac:dyDescent="0.25">
      <c r="B89" t="s">
        <v>3914</v>
      </c>
      <c r="C89">
        <v>1200000</v>
      </c>
      <c r="D89">
        <v>960000</v>
      </c>
      <c r="E89">
        <v>720000</v>
      </c>
      <c r="F89">
        <v>480000</v>
      </c>
      <c r="G89">
        <v>240000</v>
      </c>
    </row>
    <row r="90" spans="2:7" x14ac:dyDescent="0.25">
      <c r="B90" t="s">
        <v>3917</v>
      </c>
      <c r="C90">
        <v>12</v>
      </c>
    </row>
    <row r="91" spans="2:7" x14ac:dyDescent="0.25">
      <c r="B91" t="s">
        <v>3918</v>
      </c>
      <c r="C91">
        <f>C89/$C$90</f>
        <v>100000</v>
      </c>
      <c r="D91">
        <f>D89/$C$90</f>
        <v>80000</v>
      </c>
      <c r="E91">
        <f>E89/$C$90</f>
        <v>60000</v>
      </c>
      <c r="F91">
        <f>F89/$C$90</f>
        <v>40000</v>
      </c>
      <c r="G91">
        <f>G89/$C$90</f>
        <v>20000</v>
      </c>
    </row>
    <row r="96" spans="2:7" x14ac:dyDescent="0.25">
      <c r="B96" t="s">
        <v>3904</v>
      </c>
    </row>
    <row r="97" spans="2:5" x14ac:dyDescent="0.25">
      <c r="B97" t="s">
        <v>3839</v>
      </c>
      <c r="C97" t="s">
        <v>0</v>
      </c>
      <c r="D97" s="4" t="s">
        <v>2</v>
      </c>
      <c r="E97" s="4" t="s">
        <v>3</v>
      </c>
    </row>
    <row r="98" spans="2:5" x14ac:dyDescent="0.25">
      <c r="B98">
        <v>1345</v>
      </c>
      <c r="C98" t="s">
        <v>3923</v>
      </c>
      <c r="D98" s="4">
        <v>100000</v>
      </c>
      <c r="E98" s="4"/>
    </row>
    <row r="99" spans="2:5" x14ac:dyDescent="0.25">
      <c r="B99">
        <v>4210</v>
      </c>
      <c r="C99" t="s">
        <v>3924</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3905</v>
      </c>
    </row>
    <row r="117" spans="2:5" x14ac:dyDescent="0.25">
      <c r="B117" t="s">
        <v>3839</v>
      </c>
      <c r="C117" t="s">
        <v>0</v>
      </c>
      <c r="D117" s="4" t="s">
        <v>2</v>
      </c>
      <c r="E117" s="4" t="s">
        <v>3</v>
      </c>
    </row>
    <row r="118" spans="2:5" x14ac:dyDescent="0.25">
      <c r="B118">
        <v>1110</v>
      </c>
      <c r="C118" t="s">
        <v>3908</v>
      </c>
      <c r="D118" s="4">
        <v>3200000</v>
      </c>
      <c r="E118" s="4"/>
    </row>
    <row r="119" spans="2:5" x14ac:dyDescent="0.25">
      <c r="B119">
        <v>1295</v>
      </c>
      <c r="C119" t="s">
        <v>3925</v>
      </c>
      <c r="D119" s="4"/>
      <c r="E119" s="4">
        <v>2000000</v>
      </c>
    </row>
    <row r="120" spans="2:5" x14ac:dyDescent="0.25">
      <c r="B120">
        <v>1345</v>
      </c>
      <c r="C120" t="s">
        <v>3926</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3906</v>
      </c>
    </row>
    <row r="125" spans="2:5" x14ac:dyDescent="0.25">
      <c r="B125" t="s">
        <v>3839</v>
      </c>
      <c r="C125" t="s">
        <v>0</v>
      </c>
      <c r="D125" s="4" t="s">
        <v>2</v>
      </c>
      <c r="E125" s="4" t="s">
        <v>3</v>
      </c>
    </row>
    <row r="126" spans="2:5" x14ac:dyDescent="0.25">
      <c r="B126">
        <v>1110</v>
      </c>
      <c r="C126" t="s">
        <v>3908</v>
      </c>
      <c r="D126" s="4">
        <f>E127+E128</f>
        <v>2960000</v>
      </c>
      <c r="E126" s="4"/>
    </row>
    <row r="127" spans="2:5" x14ac:dyDescent="0.25">
      <c r="B127">
        <v>1295</v>
      </c>
      <c r="C127" t="s">
        <v>3925</v>
      </c>
      <c r="D127" s="4"/>
      <c r="E127" s="4">
        <v>2000000</v>
      </c>
    </row>
    <row r="128" spans="2:5" x14ac:dyDescent="0.25">
      <c r="B128">
        <v>1345</v>
      </c>
      <c r="C128" t="s">
        <v>3926</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3927</v>
      </c>
    </row>
    <row r="134" spans="2:5" x14ac:dyDescent="0.25">
      <c r="B134" t="s">
        <v>3839</v>
      </c>
      <c r="C134" t="s">
        <v>0</v>
      </c>
      <c r="D134" s="39" t="s">
        <v>2</v>
      </c>
      <c r="E134" s="39" t="s">
        <v>3</v>
      </c>
    </row>
    <row r="135" spans="2:5" x14ac:dyDescent="0.25">
      <c r="B135">
        <v>1110</v>
      </c>
      <c r="C135" t="s">
        <v>3908</v>
      </c>
      <c r="D135" s="4">
        <f t="shared" ref="D135" si="3">E136+E137</f>
        <v>2720000</v>
      </c>
      <c r="E135" s="4"/>
    </row>
    <row r="136" spans="2:5" x14ac:dyDescent="0.25">
      <c r="B136">
        <v>1295</v>
      </c>
      <c r="C136" t="s">
        <v>3925</v>
      </c>
      <c r="D136" s="4"/>
      <c r="E136" s="4">
        <v>2000000</v>
      </c>
    </row>
    <row r="137" spans="2:5" x14ac:dyDescent="0.25">
      <c r="B137">
        <v>1345</v>
      </c>
      <c r="C137" t="s">
        <v>3926</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3928</v>
      </c>
    </row>
    <row r="143" spans="2:5" x14ac:dyDescent="0.25">
      <c r="B143" t="s">
        <v>3839</v>
      </c>
      <c r="C143" t="s">
        <v>0</v>
      </c>
      <c r="D143" s="39" t="s">
        <v>2</v>
      </c>
      <c r="E143" s="39" t="s">
        <v>3</v>
      </c>
    </row>
    <row r="144" spans="2:5" x14ac:dyDescent="0.25">
      <c r="B144">
        <v>1110</v>
      </c>
      <c r="C144" t="s">
        <v>3908</v>
      </c>
      <c r="D144" s="4">
        <f t="shared" ref="D144" si="4">E145+E146</f>
        <v>2480000</v>
      </c>
      <c r="E144" s="4"/>
    </row>
    <row r="145" spans="2:5" x14ac:dyDescent="0.25">
      <c r="B145">
        <v>1295</v>
      </c>
      <c r="C145" t="s">
        <v>3925</v>
      </c>
      <c r="D145" s="4"/>
      <c r="E145" s="4">
        <v>2000000</v>
      </c>
    </row>
    <row r="146" spans="2:5" x14ac:dyDescent="0.25">
      <c r="B146">
        <v>1345</v>
      </c>
      <c r="C146" t="s">
        <v>3926</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3929</v>
      </c>
    </row>
    <row r="151" spans="2:5" x14ac:dyDescent="0.25">
      <c r="B151" t="s">
        <v>3839</v>
      </c>
      <c r="C151" t="s">
        <v>0</v>
      </c>
      <c r="D151" s="39" t="s">
        <v>2</v>
      </c>
      <c r="E151" s="39" t="s">
        <v>3</v>
      </c>
    </row>
    <row r="152" spans="2:5" x14ac:dyDescent="0.25">
      <c r="B152">
        <v>1110</v>
      </c>
      <c r="C152" t="s">
        <v>3908</v>
      </c>
      <c r="D152" s="4">
        <f t="shared" ref="D152" si="5">E153+E154</f>
        <v>2240000</v>
      </c>
      <c r="E152" s="4"/>
    </row>
    <row r="153" spans="2:5" x14ac:dyDescent="0.25">
      <c r="B153">
        <v>1295</v>
      </c>
      <c r="C153" t="s">
        <v>3925</v>
      </c>
      <c r="D153" s="4"/>
      <c r="E153" s="4">
        <v>2000000</v>
      </c>
    </row>
    <row r="154" spans="2:5" x14ac:dyDescent="0.25">
      <c r="B154">
        <v>1345</v>
      </c>
      <c r="C154" t="s">
        <v>3926</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3930</v>
      </c>
    </row>
    <row r="176" spans="1:4" x14ac:dyDescent="0.25">
      <c r="A176" t="s">
        <v>3839</v>
      </c>
      <c r="B176" t="s">
        <v>0</v>
      </c>
      <c r="C176" s="39" t="s">
        <v>2</v>
      </c>
      <c r="D176" s="39" t="s">
        <v>3</v>
      </c>
    </row>
    <row r="177" spans="1:5" x14ac:dyDescent="0.25">
      <c r="A177">
        <v>1235</v>
      </c>
      <c r="B177" t="s">
        <v>3940</v>
      </c>
      <c r="C177" s="39">
        <v>20000000</v>
      </c>
      <c r="D177" s="39"/>
    </row>
    <row r="178" spans="1:5" x14ac:dyDescent="0.25">
      <c r="A178">
        <v>1110</v>
      </c>
      <c r="B178" t="s">
        <v>3908</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3941</v>
      </c>
      <c r="B182" s="41">
        <v>20000000</v>
      </c>
    </row>
    <row r="183" spans="1:5" x14ac:dyDescent="0.25">
      <c r="A183" t="s">
        <v>3910</v>
      </c>
      <c r="B183" s="40">
        <v>0.12</v>
      </c>
    </row>
    <row r="184" spans="1:5" x14ac:dyDescent="0.25">
      <c r="A184" t="s">
        <v>3918</v>
      </c>
    </row>
    <row r="187" spans="1:5" x14ac:dyDescent="0.25">
      <c r="A187" t="s">
        <v>3942</v>
      </c>
    </row>
    <row r="188" spans="1:5" x14ac:dyDescent="0.25">
      <c r="A188" t="s">
        <v>3912</v>
      </c>
      <c r="B188" s="39" t="s">
        <v>3913</v>
      </c>
      <c r="C188" s="39" t="s">
        <v>3914</v>
      </c>
      <c r="D188" s="39" t="s">
        <v>3915</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3931</v>
      </c>
    </row>
    <row r="200" spans="1:5" x14ac:dyDescent="0.25">
      <c r="A200" t="s">
        <v>3839</v>
      </c>
      <c r="B200" t="s">
        <v>0</v>
      </c>
      <c r="C200" s="39" t="s">
        <v>2</v>
      </c>
      <c r="D200" s="39" t="s">
        <v>3</v>
      </c>
    </row>
    <row r="201" spans="1:5" x14ac:dyDescent="0.25">
      <c r="A201">
        <v>1345</v>
      </c>
      <c r="B201" t="s">
        <v>3943</v>
      </c>
      <c r="C201" s="39">
        <v>200000</v>
      </c>
      <c r="D201" s="39"/>
    </row>
    <row r="202" spans="1:5" x14ac:dyDescent="0.25">
      <c r="A202">
        <v>4210</v>
      </c>
      <c r="B202" t="s">
        <v>3944</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3932</v>
      </c>
    </row>
    <row r="220" spans="1:4" x14ac:dyDescent="0.25">
      <c r="A220" t="s">
        <v>3839</v>
      </c>
      <c r="B220" t="s">
        <v>0</v>
      </c>
      <c r="C220" s="39" t="s">
        <v>2</v>
      </c>
      <c r="D220" s="39" t="s">
        <v>3</v>
      </c>
    </row>
    <row r="221" spans="1:4" x14ac:dyDescent="0.25">
      <c r="A221">
        <v>1235</v>
      </c>
      <c r="B221" t="s">
        <v>3940</v>
      </c>
      <c r="C221" s="39">
        <v>1000000</v>
      </c>
      <c r="D221" s="39"/>
    </row>
    <row r="222" spans="1:4" x14ac:dyDescent="0.25">
      <c r="A222">
        <v>3805</v>
      </c>
      <c r="B222" t="s">
        <v>3945</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3933</v>
      </c>
    </row>
    <row r="234" spans="1:4" x14ac:dyDescent="0.25">
      <c r="A234" t="s">
        <v>3839</v>
      </c>
      <c r="B234" t="s">
        <v>0</v>
      </c>
      <c r="C234" s="39" t="s">
        <v>2</v>
      </c>
      <c r="D234" s="39" t="s">
        <v>3</v>
      </c>
    </row>
    <row r="235" spans="1:4" x14ac:dyDescent="0.25">
      <c r="A235">
        <v>1110</v>
      </c>
      <c r="B235" t="s">
        <v>3908</v>
      </c>
      <c r="C235" s="39">
        <v>6400000</v>
      </c>
      <c r="D235" s="39"/>
    </row>
    <row r="236" spans="1:4" x14ac:dyDescent="0.25">
      <c r="A236">
        <v>1235</v>
      </c>
      <c r="B236" t="s">
        <v>3940</v>
      </c>
      <c r="C236" s="39"/>
      <c r="D236" s="39">
        <v>4000000</v>
      </c>
    </row>
    <row r="237" spans="1:4" x14ac:dyDescent="0.25">
      <c r="A237">
        <v>1345</v>
      </c>
      <c r="B237" t="s">
        <v>3946</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3947</v>
      </c>
    </row>
    <row r="244" spans="1:4" x14ac:dyDescent="0.25">
      <c r="A244" t="s">
        <v>3839</v>
      </c>
      <c r="B244" t="s">
        <v>0</v>
      </c>
      <c r="C244" s="39" t="s">
        <v>2</v>
      </c>
      <c r="D244" s="39" t="s">
        <v>3</v>
      </c>
    </row>
    <row r="245" spans="1:4" x14ac:dyDescent="0.25">
      <c r="A245">
        <v>1110</v>
      </c>
      <c r="B245" t="s">
        <v>3908</v>
      </c>
      <c r="C245" s="39">
        <v>20000000</v>
      </c>
      <c r="D245" s="39"/>
    </row>
    <row r="246" spans="1:4" x14ac:dyDescent="0.25">
      <c r="A246">
        <v>3805</v>
      </c>
      <c r="B246" t="s">
        <v>3950</v>
      </c>
      <c r="C246" s="39">
        <v>1000000</v>
      </c>
      <c r="D246" s="39">
        <v>0</v>
      </c>
    </row>
    <row r="247" spans="1:4" x14ac:dyDescent="0.25">
      <c r="A247">
        <v>1235</v>
      </c>
      <c r="B247" t="s">
        <v>3940</v>
      </c>
      <c r="C247" s="39"/>
      <c r="D247" s="39">
        <v>16000000</v>
      </c>
    </row>
    <row r="248" spans="1:4" x14ac:dyDescent="0.25">
      <c r="A248">
        <v>4240</v>
      </c>
      <c r="B248" t="s">
        <v>3951</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3948</v>
      </c>
    </row>
    <row r="263" spans="1:4" x14ac:dyDescent="0.25">
      <c r="A263" t="s">
        <v>3839</v>
      </c>
      <c r="B263" t="s">
        <v>0</v>
      </c>
      <c r="C263" s="39" t="s">
        <v>2</v>
      </c>
      <c r="D263" s="39" t="s">
        <v>3</v>
      </c>
    </row>
    <row r="264" spans="1:4" x14ac:dyDescent="0.25">
      <c r="A264">
        <v>1205</v>
      </c>
      <c r="B264" t="s">
        <v>3952</v>
      </c>
      <c r="C264" s="39">
        <v>10000000</v>
      </c>
      <c r="D264" s="39"/>
    </row>
    <row r="265" spans="1:4" x14ac:dyDescent="0.25">
      <c r="A265">
        <v>5305</v>
      </c>
      <c r="B265" t="s">
        <v>3953</v>
      </c>
      <c r="C265" s="39">
        <v>300000</v>
      </c>
      <c r="D265" s="39">
        <v>0</v>
      </c>
    </row>
    <row r="266" spans="1:4" x14ac:dyDescent="0.25">
      <c r="A266">
        <v>1110</v>
      </c>
      <c r="B266" t="s">
        <v>3908</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3949</v>
      </c>
    </row>
    <row r="278" spans="1:4" x14ac:dyDescent="0.25">
      <c r="A278" t="s">
        <v>3839</v>
      </c>
      <c r="B278" t="s">
        <v>0</v>
      </c>
      <c r="C278" s="39" t="s">
        <v>2</v>
      </c>
      <c r="D278" s="39" t="s">
        <v>3</v>
      </c>
    </row>
    <row r="279" spans="1:4" x14ac:dyDescent="0.25">
      <c r="A279">
        <v>1205</v>
      </c>
      <c r="B279" t="s">
        <v>3952</v>
      </c>
      <c r="C279" s="39">
        <v>1000000</v>
      </c>
      <c r="D279" s="39"/>
    </row>
    <row r="280" spans="1:4" x14ac:dyDescent="0.25">
      <c r="A280">
        <v>3805</v>
      </c>
      <c r="B280" t="s">
        <v>3956</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3954</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3955</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7</vt:i4>
      </vt:variant>
    </vt:vector>
  </HeadingPairs>
  <TitlesOfParts>
    <vt:vector size="24" baseType="lpstr">
      <vt:lpstr>Portada</vt:lpstr>
      <vt:lpstr>Factura Venta</vt:lpstr>
      <vt:lpstr>Soporte de compra</vt:lpstr>
      <vt:lpstr>Inventario</vt:lpstr>
      <vt:lpstr>apertura_caja_menor</vt:lpstr>
      <vt:lpstr>Hoja_trabajo</vt:lpstr>
      <vt:lpstr>Reconocimiento_reembolso_CM</vt:lpstr>
      <vt:lpstr>Libro Mayor</vt:lpstr>
      <vt:lpstr>Reconocimientos_contables</vt:lpstr>
      <vt:lpstr>Consulta Libro Bancos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2024-06-15T22:48:50Z</cp:lastPrinted>
  <dcterms:created xsi:type="dcterms:W3CDTF">2024-05-14T20:58:57Z</dcterms:created>
  <dcterms:modified xsi:type="dcterms:W3CDTF">2024-06-17T15:45:27Z</dcterms:modified>
</cp:coreProperties>
</file>