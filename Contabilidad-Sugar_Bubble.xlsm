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drawings/drawing1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3.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3B1A51AD-F9DD-47B8-9DFC-CBC7A8EF2246}" xr6:coauthVersionLast="47" xr6:coauthVersionMax="47" xr10:uidLastSave="{00000000-0000-0000-0000-000000000000}"/>
  <bookViews>
    <workbookView xWindow="-120" yWindow="-120" windowWidth="20730" windowHeight="11040" firstSheet="9" activeTab="9"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9" hidden="1">'Consulta Extracto'!$A$1:$E$42</definedName>
    <definedName name="DatosExternos_1" localSheetId="6" hidden="1">'Libro Mayor'!#REF!</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 i="19" l="1"/>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D356488A-73BA-48EC-9AE5-A4622E7B153C}" keepAlive="1" name="Conexión16" type="5" refreshedVersion="0" background="1">
    <dbPr connection="Provider=Microsoft.Mashup.OleDb.1;Data Source=$Workbook$;Location=tabla_consulta_extracto;Extended Properties=&quot;&quot;" commandType="0"/>
  </connection>
  <connection id="10" xr16:uid="{07DE8307-5B79-4E7A-B2F2-088F9BBEA8F4}" keepAlive="1" name="Conexión17" type="5" refreshedVersion="0" background="1">
    <dbPr connection="Provider=Microsoft.Mashup.OleDb.1;Data Source=$Workbook$;Location=tabla_consulta_extracto;Extended Properties=&quot;&quot;" commandType="0"/>
  </connection>
  <connection id="11" xr16:uid="{0ABA65C3-5234-40AB-83AE-C4EF985F1A29}" keepAlive="1" name="Conexión18" type="5" refreshedVersion="7" background="1" saveData="1">
    <dbPr connection="Provider=Microsoft.Mashup.OleDb.1;Data Source=$Workbook$;Location=tabla_consulta_extracto;Extended Properties=&quot;&quot;" command="SELECT * FROM [tabla_consulta_extracto]"/>
  </connection>
  <connection id="12" xr16:uid="{67AB33D5-9C64-4922-8D25-066E645C0FEE}" keepAlive="1" name="Conexión2" type="5" refreshedVersion="0" background="1">
    <dbPr connection="Provider=Microsoft.Mashup.OleDb.1;Data Source=$Workbook$;Location=tabla_consulta_extracto;Extended Properties=&quot;&quot;" commandType="0"/>
  </connection>
  <connection id="13" xr16:uid="{EDFA5F0C-A6E8-461F-B65E-AEB38617AD59}" keepAlive="1" name="Conexión3" type="5" refreshedVersion="0" background="1">
    <dbPr connection="Provider=Microsoft.Mashup.OleDb.1;Data Source=$Workbook$;Location=tabla_consulta_extracto;Extended Properties=&quot;&quot;" commandType="0"/>
  </connection>
  <connection id="14" xr16:uid="{7D9CE08D-253E-470A-8DEF-7EF581A91E69}" keepAlive="1" name="Conexión4" type="5" refreshedVersion="0" background="1">
    <dbPr connection="Provider=Microsoft.Mashup.OleDb.1;Data Source=$Workbook$;Location=tabla_consulta_extracto;Extended Properties=&quot;&quot;" commandType="0"/>
  </connection>
  <connection id="15" xr16:uid="{914F01AE-2510-4AF2-9AA5-9EE76EDDED13}" keepAlive="1" name="Conexión5" type="5" refreshedVersion="0" background="1">
    <dbPr connection="Provider=Microsoft.Mashup.OleDb.1;Data Source=$Workbook$;Location=tabla_consulta_extracto;Extended Properties=&quot;&quot;" commandType="0"/>
  </connection>
  <connection id="16" xr16:uid="{CC6C7AD2-E6CB-4521-B082-9269FA334C5C}" keepAlive="1" name="Conexión6" type="5" refreshedVersion="0" background="1">
    <dbPr connection="Provider=Microsoft.Mashup.OleDb.1;Data Source=$Workbook$;Location=tabla_consulta_extracto;Extended Properties=&quot;&quot;" commandType="0"/>
  </connection>
  <connection id="17" xr16:uid="{F6E03471-209A-41DB-B034-64BDA4F9E48E}" keepAlive="1" name="Conexión7" type="5" refreshedVersion="0" background="1">
    <dbPr connection="Provider=Microsoft.Mashup.OleDb.1;Data Source=$Workbook$;Location=tabla_consulta_extracto;Extended Properties=&quot;&quot;" commandType="0"/>
  </connection>
  <connection id="18" xr16:uid="{7355C048-8DB1-43B5-89EC-02FFB9E4402A}" keepAlive="1" name="Conexión8" type="5" refreshedVersion="0" background="1">
    <dbPr connection="Provider=Microsoft.Mashup.OleDb.1;Data Source=$Workbook$;Location=tabla_consulta_extracto;Extended Properties=&quot;&quot;" commandType="0"/>
  </connection>
  <connection id="19"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<sst xmlns="http://schemas.openxmlformats.org/spreadsheetml/2006/main" count="6110" uniqueCount="4130">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</sst>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9">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9" fillId="0" borderId="0" xfId="0" applyFont="1" applyAlignment="1">
      <alignment horizontal="left" vertical="center"/>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5">
    <dxf>
      <numFmt numFmtId="0" formatCode="General"/>
    </dxf>
    <dxf>
      <numFmt numFmtId="0" formatCode="General"/>
    </dxf>
    <dxf>
      <numFmt numFmtId="19" formatCode="dd/mm/yyyy"/>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1" xr16:uid="{742DB27D-EF01-4B17-88B6-CD3DEA2DDD05}"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4">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3" totalsRowDxfId="262"/>
    <tableColumn id="4" xr3:uid="{A8C3DCB1-A1AA-4F29-AB1E-0A2E682C3530}" name="Cantidad" totalsRowFunction="sum" dataDxfId="261" totalsRowDxfId="260"/>
    <tableColumn id="5" xr3:uid="{614B29C1-F3BF-4DF9-904D-94721E98CBEC}" name="Dcto." totalsRowFunction="sum" dataDxfId="259" totalsRowDxfId="258"/>
    <tableColumn id="6" xr3:uid="{5F152225-0439-4330-A9A1-E874E7F9AFC3}" name="IVA %" totalsRowFunction="sum" dataDxfId="257" totalsRowDxfId="256"/>
    <tableColumn id="7" xr3:uid="{3B53B34F-4EAA-4944-9CED-32BC39517FAB}" name="Valor total" totalsRowFunction="sum" dataDxfId="255" totalsRowDxfId="254"/>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3" totalsRowDxfId="252"/>
    <tableColumn id="4" xr3:uid="{334E5B37-F36E-4327-A1A1-871F7172D729}" name="Cantidad" totalsRowFunction="sum" dataDxfId="251" totalsRowDxfId="250"/>
    <tableColumn id="5" xr3:uid="{C8E09F96-E344-4397-A22C-842F27212EB7}" name="% Ganancia"/>
    <tableColumn id="6" xr3:uid="{4785F2DB-38BC-4DAD-B87E-948CB98343E5}" name="Valor total" totalsRowFunction="sum" dataDxfId="249" totalsRowDxfId="248">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7"/>
    <tableColumn id="4" xr3:uid="{566487BE-7A8F-479C-BC98-6CE36583601D}" name="Debe" totalsRowFunction="sum" dataDxfId="246" totalsRowDxfId="245"/>
    <tableColumn id="5" xr3:uid="{0FDDDE24-7D3E-40D9-A7CF-C1ABAD690151}" name="Haber" totalsRowFunction="sum" dataDxfId="244" totalsRowDxfId="2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2" totalsRowDxfId="241"/>
    <tableColumn id="7" xr3:uid="{876CB599-EEB3-45DF-9CFA-4DB44A3B52AC}" name="IVA" totalsRowFunction="sum" dataDxfId="240" totalsRowDxfId="239"/>
    <tableColumn id="8" xr3:uid="{42FB424A-7513-4114-876B-F0B2EDBF4CD2}" name="Valor con IVA" totalsRowFunction="sum" dataDxfId="238" totalsRowDxfId="2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6" totalsRowDxfId="235"/>
    <tableColumn id="3" xr3:uid="{71B39168-8F5B-47CF-9237-6F6FC655C0B9}" name="Valor" totalsRowFunction="sum" dataDxfId="234" totalsRowDxfId="2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2" totalsRowDxfId="231"/>
    <tableColumn id="3" xr3:uid="{0461D468-C8E3-4599-951F-F7946A646CCE}" name="Valor" totalsRowFunction="sum" dataDxfId="230" totalsRowDxfId="2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8" totalsRowDxfId="227"/>
    <tableColumn id="4" xr3:uid="{B45669F8-9524-44A4-A62E-8950B2BA2222}" name="Debe" totalsRowFunction="sum" dataDxfId="226" totalsRowDxfId="225"/>
    <tableColumn id="5" xr3:uid="{D708AA91-103B-44B4-8E9C-257B6509A4BC}" name="Haber" totalsRowFunction="sum" dataDxfId="224" totalsRowDxfId="2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22" totalsRowDxfId="2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0"/>
    <tableColumn id="5" xr3:uid="{9429A308-5036-4C32-9507-C5B26AB665B6}" name="Debe" totalsRowFunction="sum" dataDxfId="219" totalsRowDxfId="218"/>
    <tableColumn id="6" xr3:uid="{055351D5-5F7F-4D1E-998C-342FCF670354}" name="Haber" totalsRowFunction="sum" dataDxfId="217" totalsRowDxfId="2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5" dataDxfId="214" totalsRowDxfId="213">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2" totalsRowDxfId="211"/>
    <tableColumn id="2" xr3:uid="{D3FF3515-9047-4BBB-869A-D2E11918C23B}" name="Detalle" dataDxfId="210" totalsRowDxfId="209"/>
    <tableColumn id="3" xr3:uid="{8759BD7C-9D88-4606-89D6-DD4F7BB40422}" name="Documento" dataDxfId="208" totalsRowDxfId="207"/>
    <tableColumn id="4" xr3:uid="{C36E1D5A-C1C0-4543-B5D9-9FBB3E24D5F2}" name="Debe" totalsRowFunction="sum" dataDxfId="206" totalsRowDxfId="205"/>
    <tableColumn id="5" xr3:uid="{27E80D36-9F48-4468-8839-F41EFD7A554F}" name="Haber" totalsRowFunction="sum" dataDxfId="204" totalsRowDxfId="203"/>
    <tableColumn id="6" xr3:uid="{0791213B-FED9-40D3-9C22-17D8FA6639DE}" name="Saldo" totalsRowFunction="custom" dataDxfId="202" totalsRowDxfId="201">
      <totalsRowFormula array="1">INDEX(tbl_libro_auxiliar_bancos[Saldo], COUNT(tbl_libro_auxiliar_bancos[Saldo]))</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B2C40480-B02D-40B3-AEAE-BF443A19748E}" name="tabla_consulta_extracto" displayName="tabla_consulta_extracto" ref="A1:E42" tableType="queryTable" totalsRowShown="0">
  <autoFilter ref="A1:E42" xr:uid="{B2C40480-B02D-40B3-AEAE-BF443A19748E}"/>
  <tableColumns count="5">
    <tableColumn id="6" xr3:uid="{C32B3013-6532-4014-8939-389DE107B2B5}" uniqueName="6" name="Fecha" queryTableFieldId="1" dataDxfId="2"/>
    <tableColumn id="7" xr3:uid="{74E22705-82F3-4B33-91BA-524AB78C1833}" uniqueName="7" name="Detalle" queryTableFieldId="2" dataDxfId="1"/>
    <tableColumn id="8" xr3:uid="{2BB62B17-1298-4C00-86E9-61F32028DE50}" uniqueName="8" name="Documento" queryTableFieldId="3" dataDxfId="0"/>
    <tableColumn id="9" xr3:uid="{3DB7F2CA-555D-40FD-8D08-66619A531104}" uniqueName="9" name="Valor" queryTableFieldId="4"/>
    <tableColumn id="10" xr3:uid="{F843E246-B1E9-4119-B64B-B79825F87FCD}" uniqueName="10" name="Saldo" queryTableFieldId="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00" dataDxfId="199" totalsRowDxfId="198">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7" totalsRowDxfId="196"/>
    <tableColumn id="2" xr3:uid="{054A8930-BAEE-4B5B-B56A-CBCAB37B55C1}" name="Detalle" dataDxfId="195" totalsRowDxfId="194"/>
    <tableColumn id="3" xr3:uid="{83D7B0F5-FE48-412F-AE9E-7CD9CF616640}" name="Documento" dataDxfId="193" totalsRowDxfId="192"/>
    <tableColumn id="4" xr3:uid="{D7CD5589-8EA4-4582-A2F6-06E76B66BAD3}" name="Valor" totalsRowFunction="sum" dataDxfId="191" totalsRowDxfId="190"/>
    <tableColumn id="5" xr3:uid="{6ADA082B-577A-46D0-A3F5-EB19E21A3E9A}" name="Saldo" totalsRowFunction="custom" dataDxfId="189" totalsRowDxfId="188">
      <totalsRowFormula array="1">INDEX(tbl_extracto[Saldo], COUNT(tbl_extracto[Saldo]))</totalsRow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7" totalsRowDxfId="18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5" totalsRowDxfId="18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3" totalsRowDxfId="182"/>
    <tableColumn id="2" xr3:uid="{6AEFDE4D-5858-499D-B665-A6E55CDD0F7F}" name="Documento" dataDxfId="181" totalsRowDxfId="180"/>
    <tableColumn id="3" xr3:uid="{9CC3CC01-E374-4785-8298-2387AFF901DF}" name="Valor" totalsRowFunction="sum" dataDxfId="179" totalsRowDxfId="1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7">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6" totalsRowDxfId="175"/>
    <tableColumn id="2" xr3:uid="{3102E91D-43C6-4667-B150-97CFEC2BA120}" name="Documento" dataDxfId="174" totalsRowDxfId="173"/>
    <tableColumn id="3" xr3:uid="{0ADBE507-66D1-4C96-B31A-ADBECDED9694}" name="Valor" totalsRowFunction="sum" dataDxfId="172" totalsRowDxfId="17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70">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69" totalsRowDxfId="168"/>
    <tableColumn id="2" xr3:uid="{0A648ABE-BC4C-4B1E-ADFC-12B28549B905}" name="Documento" dataDxfId="167" totalsRowDxfId="166"/>
    <tableColumn id="3" xr3:uid="{CA039FE4-2EF5-4F40-90C3-B80CADA98B83}" name="Valor" totalsRowFunction="sum" dataDxfId="165" totalsRowDxfId="16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3">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2" totalsRowDxfId="161"/>
    <tableColumn id="2" xr3:uid="{D1C80000-E34C-48FA-BDAE-3D7C10910D33}" name="Documento" dataDxfId="160" totalsRowDxfId="159"/>
    <tableColumn id="3" xr3:uid="{BA986B08-9E76-45FD-B093-F9255E76D4C4}" name="Valor" totalsRowFunction="sum" dataDxfId="158" totalsRowDxfId="15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6">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5" totalsRowDxfId="154"/>
    <tableColumn id="2" xr3:uid="{BE48C6ED-858E-4A4A-B997-30DB01762594}" name="Documento" dataDxfId="153" totalsRowDxfId="152"/>
    <tableColumn id="3" xr3:uid="{A147792C-0F10-4874-87AC-88DA85A964CA}" name="Valor" totalsRowFunction="sum" dataDxfId="151" totalsRowDxfId="15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49">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48" totalsRowDxfId="147"/>
    <tableColumn id="2" xr3:uid="{1DD5A06D-F8B3-422E-9DF5-5F401BA772E0}" name="Documento" dataDxfId="146" totalsRowDxfId="145"/>
    <tableColumn id="3" xr3:uid="{A905D5C3-C712-4BC1-B850-7FAC5FCC9ECC}" name="Valor" totalsRowFunction="sum" dataDxfId="144" totalsRowDxfId="14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42" dataCellStyle="Normal"/>
    <tableColumn id="2" xr3:uid="{BB6AA3CF-2F58-4ED7-B754-9A6CD234B560}" name="Documento" totalsRowDxfId="141" dataCellStyle="Normal"/>
    <tableColumn id="3" xr3:uid="{18F21E44-BC5B-484E-B824-3397BD3C0C5C}" name="Valor" totalsRowFunction="sum" dataDxfId="140" totalsRowDxfId="139"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38" dataCellStyle="Normal"/>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37" totalsRow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5" totalsRowDxfId="13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3" totalsRowDxfId="13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31" totalsRowDxfId="13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29" totalsRowDxfId="12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27" totalsRowDxfId="12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5" totalsRowDxfId="1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3" totalsRowDxfId="12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21" totalsRowDxfId="120"/>
    <tableColumn id="4" xr3:uid="{DAAE6A04-7E86-4107-A73E-A49084C37A77}" name="Haber" totalsRowFunction="sum" dataDxfId="119" totalsRowDxfId="1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7" totalsRowDxfId="116"/>
    <tableColumn id="4" xr3:uid="{243B575A-4E5E-49F1-B633-301542AB5732}" name="Haber" totalsRowFunction="sum" dataDxfId="115" totalsRowDxfId="11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3" totalsRowDxfId="112"/>
    <tableColumn id="4" xr3:uid="{9C5E7894-3679-4E30-B50C-35BA7674C168}" name="Haber" totalsRowFunction="sum" dataDxfId="111" totalsRowDxfId="11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09" totalsRowDxfId="108"/>
    <tableColumn id="4" xr3:uid="{14CFE248-F059-4F52-91F7-965B105085AF}" name="Haber" totalsRowFunction="sum" dataDxfId="107" totalsRowDxfId="10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5" totalsRowDxfId="104"/>
    <tableColumn id="4" xr3:uid="{4B130E2A-F81A-4B12-841F-384CD4E4E208}" name="Haber" totalsRowFunction="sum" dataDxfId="103" totalsRowDxfId="10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01" totalsRowDxfId="100"/>
    <tableColumn id="4" xr3:uid="{ED2E782F-97BB-478A-B192-D6C97AFE2049}" name="Haber" totalsRowFunction="sum" dataDxfId="99" totalsRowDxfId="9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7" totalsRowDxfId="96">
      <calculatedColumnFormula>E127+E128</calculatedColumnFormula>
    </tableColumn>
    <tableColumn id="4" xr3:uid="{2D241872-0B21-4220-BB55-8FA9CF3BDEBC}" name="Haber" totalsRowFunction="sum" dataDxfId="95" totalsRow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3" totalsRowDxfId="92"/>
    <tableColumn id="3" xr3:uid="{C8DA64B3-5A04-483E-B3FF-526DA72EAF4B}" name="Interes" totalsRowFunction="sum" dataDxfId="91" totalsRowDxfId="90"/>
    <tableColumn id="4" xr3:uid="{6D8EBC55-606C-4284-AA47-2B69DB2011FF}" name="Cuota" totalsRowFunction="sum" dataDxfId="89" totalsRowDxfId="88"/>
    <tableColumn id="5" xr3:uid="{58AC5A18-A329-4A3B-8EE4-4A12D7577EDA}" name="Saldo" totalsRowFunction="sum" totalsRowDxfId="8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6" totalsRowDxfId="85"/>
    <tableColumn id="4" xr3:uid="{4677B9FA-A42C-414A-8717-B780F3E27FA4}" name="Haber" totalsRowFunction="sum" dataDxfId="84" totalsRowDxfId="8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82" totalsRowDxfId="81"/>
    <tableColumn id="4" xr3:uid="{89FE12DA-22B1-45E4-94D6-3A6C8991A523}" name="Haber" totalsRowFunction="sum" dataDxfId="80" totalsRow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78" totalsRowDxfId="77"/>
    <tableColumn id="4" xr3:uid="{412DFE33-BC60-49EE-8850-5497528DFF88}" name="Haber" totalsRowFunction="sum" dataDxfId="76" totalsRowDxfId="7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4" totalsRowDxfId="73"/>
    <tableColumn id="4" xr3:uid="{F75BD319-D3E6-4DF6-894C-F4497FF0B20C}" name="Haber" totalsRowFunction="sum" dataDxfId="72" totalsRowDxfId="7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70" totalsRowDxfId="69"/>
    <tableColumn id="4" xr3:uid="{FE11E439-C1D8-416C-AAC7-B0ECD68C978C}" name="Haber" totalsRowFunction="sum" dataDxfId="68" totalsRowDxfId="6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6" totalsRowDxfId="65"/>
    <tableColumn id="4" xr3:uid="{37160474-1F6C-4D02-91D8-18CBB9047285}" name="Haber" totalsRowFunction="sum" dataDxfId="64" totalsRowDxfId="6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62" totalsRowDxfId="61"/>
    <tableColumn id="4" xr3:uid="{5A2650BB-019B-4084-850D-DD5AFE3BE50E}" name="Haber" totalsRowFunction="sum" dataDxfId="60" totalsRowDxfId="59"/>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58" totalsRowDxfId="5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6" totalsRowDxfId="55"/>
    <tableColumn id="3" xr3:uid="{FF418158-48A0-43C9-B333-E877554673EC}" name="Interes" totalsRowFunction="sum" dataDxfId="54" totalsRowDxfId="53"/>
    <tableColumn id="4" xr3:uid="{3384BC44-21A8-4BD8-9235-D612F8E58F5D}" name="Cuota" totalsRowFunction="sum" dataDxfId="52" totalsRowDxfId="51"/>
    <tableColumn id="5" xr3:uid="{D47F5177-F0FC-4100-851B-893D901D5AC7}" name="Saldo" totalsRowFunction="count" dataDxfId="50"/>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49" totalsRowDxfId="48"/>
    <tableColumn id="4" xr3:uid="{E1D0EE40-D208-42A4-A3C6-CBF48856703D}" name="Haber" totalsRowFunction="sum" dataDxfId="47" totalsRowDxfId="4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5" totalsRowDxfId="44"/>
    <tableColumn id="4" xr3:uid="{1BBE9969-3F6D-4468-B5ED-EE6C44EE6216}" name="Haber" totalsRowFunction="sum" dataDxfId="43" totalsRowDxfId="4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41" totalsRowDxfId="40"/>
    <tableColumn id="4" xr3:uid="{1CE844E5-37E1-4E88-958F-F8317F23B841}" name="Haber" totalsRowFunction="sum" dataDxfId="39" totalsRowDxfId="3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7" totalsRowDxfId="36"/>
    <tableColumn id="4" xr3:uid="{475B5169-A884-44F4-88DF-29BB8346B501}" name="Haber" totalsRowFunction="sum" dataDxfId="35" totalsRowDxfId="3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3" totalsRowDxfId="32"/>
    <tableColumn id="4" xr3:uid="{A06346F3-32B7-45B6-940E-825880D575AC}" name="Haber" totalsRowFunction="sum" dataDxfId="31" totalsRowDxfId="3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29" totalsRowDxfId="28"/>
    <tableColumn id="4" xr3:uid="{3B1B6FAD-8788-4BFC-91C7-9C5104CFA460}" name="Haber" totalsRowFunction="sum" dataDxfId="27" totalsRowDxfId="2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25" totalsRowDxfId="24"/>
    <tableColumn id="4" xr3:uid="{10A5FECF-918D-44D3-A251-232FAAB294D0}" name="Haber" totalsRowFunction="sum" dataDxfId="23" totalsRowDxfId="2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21" totalsRowDxfId="20"/>
    <tableColumn id="4" xr3:uid="{3A77BED6-6AD7-4A18-AEA4-DC6004FAEAA0}" name="Haber" totalsRowFunction="sum" dataDxfId="19" totalsRowDxfId="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17" totalsRowDxfId="16"/>
    <tableColumn id="4" xr3:uid="{DE6B35A3-0EF1-499D-AC60-9B136AB3CAC4}" name="Haber" totalsRowFunction="sum" dataDxfId="15" totalsRowDxfId="1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13" totalsRowDxfId="12"/>
    <tableColumn id="4" xr3:uid="{91EF7913-698E-4DCD-BECE-A14669A9855E}" name="Haber" totalsRowFunction="sum" dataDxfId="11" totalsRowDxfId="10"/>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9" dataDxfId="7" headerRowBorderDxfId="8" tableBorderDxfId="6" totalsRowBorderDxfId="5" headerRowCellStyle="Normal_Hoja1" dataCellStyle="Normal_Hoja1">
  <autoFilter ref="A1:B2473" xr:uid="{84F4EBC0-8A41-414B-83A3-EED00469B752}"/>
  <tableColumns count="2">
    <tableColumn id="1" xr3:uid="{37DE6704-8DB2-47A7-9BCD-1A097FAFA87B}" name="Codigo" dataDxfId="4" dataCellStyle="Normal_Hoja1"/>
    <tableColumn id="2" xr3:uid="{898CFDA3-DCFE-4321-A705-0E574E55217B}" name="Nombre" dataDxfId="3"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3" Type="http://schemas.openxmlformats.org/officeDocument/2006/relationships/table" Target="../tables/table14.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 Type="http://schemas.openxmlformats.org/officeDocument/2006/relationships/drawing" Target="../drawings/drawing12.xml"/><Relationship Id="rId16" Type="http://schemas.openxmlformats.org/officeDocument/2006/relationships/table" Target="../tables/table27.xml"/><Relationship Id="rId1" Type="http://schemas.openxmlformats.org/officeDocument/2006/relationships/printerSettings" Target="../printerSettings/printerSettings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5" Type="http://schemas.openxmlformats.org/officeDocument/2006/relationships/table" Target="../tables/table26.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18" Type="http://schemas.openxmlformats.org/officeDocument/2006/relationships/table" Target="../tables/table46.xml"/><Relationship Id="rId26" Type="http://schemas.openxmlformats.org/officeDocument/2006/relationships/table" Target="../tables/table54.xml"/><Relationship Id="rId3" Type="http://schemas.openxmlformats.org/officeDocument/2006/relationships/table" Target="../tables/table31.xml"/><Relationship Id="rId21" Type="http://schemas.openxmlformats.org/officeDocument/2006/relationships/table" Target="../tables/table49.xml"/><Relationship Id="rId7" Type="http://schemas.openxmlformats.org/officeDocument/2006/relationships/table" Target="../tables/table35.xml"/><Relationship Id="rId12" Type="http://schemas.openxmlformats.org/officeDocument/2006/relationships/table" Target="../tables/table40.xml"/><Relationship Id="rId17" Type="http://schemas.openxmlformats.org/officeDocument/2006/relationships/table" Target="../tables/table45.xml"/><Relationship Id="rId25" Type="http://schemas.openxmlformats.org/officeDocument/2006/relationships/table" Target="../tables/table53.xml"/><Relationship Id="rId2" Type="http://schemas.openxmlformats.org/officeDocument/2006/relationships/drawing" Target="../drawings/drawing13.xml"/><Relationship Id="rId16" Type="http://schemas.openxmlformats.org/officeDocument/2006/relationships/table" Target="../tables/table44.xml"/><Relationship Id="rId20" Type="http://schemas.openxmlformats.org/officeDocument/2006/relationships/table" Target="../tables/table48.xml"/><Relationship Id="rId29" Type="http://schemas.openxmlformats.org/officeDocument/2006/relationships/table" Target="../tables/table57.xml"/><Relationship Id="rId1" Type="http://schemas.openxmlformats.org/officeDocument/2006/relationships/printerSettings" Target="../printerSettings/printerSettings10.bin"/><Relationship Id="rId6" Type="http://schemas.openxmlformats.org/officeDocument/2006/relationships/table" Target="../tables/table34.xml"/><Relationship Id="rId11" Type="http://schemas.openxmlformats.org/officeDocument/2006/relationships/table" Target="../tables/table39.xml"/><Relationship Id="rId24" Type="http://schemas.openxmlformats.org/officeDocument/2006/relationships/table" Target="../tables/table52.xml"/><Relationship Id="rId32" Type="http://schemas.openxmlformats.org/officeDocument/2006/relationships/table" Target="../tables/table60.xml"/><Relationship Id="rId5" Type="http://schemas.openxmlformats.org/officeDocument/2006/relationships/table" Target="../tables/table33.xml"/><Relationship Id="rId15" Type="http://schemas.openxmlformats.org/officeDocument/2006/relationships/table" Target="../tables/table43.xml"/><Relationship Id="rId23" Type="http://schemas.openxmlformats.org/officeDocument/2006/relationships/table" Target="../tables/table51.xml"/><Relationship Id="rId28" Type="http://schemas.openxmlformats.org/officeDocument/2006/relationships/table" Target="../tables/table56.xml"/><Relationship Id="rId10" Type="http://schemas.openxmlformats.org/officeDocument/2006/relationships/table" Target="../tables/table38.xml"/><Relationship Id="rId19" Type="http://schemas.openxmlformats.org/officeDocument/2006/relationships/table" Target="../tables/table47.xml"/><Relationship Id="rId31" Type="http://schemas.openxmlformats.org/officeDocument/2006/relationships/table" Target="../tables/table59.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 Id="rId22" Type="http://schemas.openxmlformats.org/officeDocument/2006/relationships/table" Target="../tables/table50.xml"/><Relationship Id="rId27" Type="http://schemas.openxmlformats.org/officeDocument/2006/relationships/table" Target="../tables/table55.xml"/><Relationship Id="rId30" Type="http://schemas.openxmlformats.org/officeDocument/2006/relationships/table" Target="../tables/table5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2" t="s">
        <v>3787</v>
      </c>
      <c r="D1" s="72"/>
      <c r="E1" s="72"/>
      <c r="F1" s="72"/>
      <c r="G1" s="72"/>
      <c r="H1" s="72"/>
      <c r="I1" s="72"/>
    </row>
    <row r="2" spans="1:9" ht="20.25" x14ac:dyDescent="0.3">
      <c r="C2" s="69" t="s">
        <v>3726</v>
      </c>
      <c r="D2" s="69"/>
      <c r="E2" s="73" t="s">
        <v>3732</v>
      </c>
      <c r="F2" s="74"/>
      <c r="G2" s="74"/>
      <c r="H2" s="74"/>
      <c r="I2" s="74"/>
    </row>
    <row r="3" spans="1:9" ht="20.25" x14ac:dyDescent="0.3">
      <c r="C3" s="69" t="s">
        <v>3728</v>
      </c>
      <c r="D3" s="69"/>
      <c r="E3" s="70">
        <v>900235498</v>
      </c>
      <c r="F3" s="71"/>
      <c r="G3" s="71"/>
      <c r="H3" s="71"/>
      <c r="I3" s="71"/>
    </row>
    <row r="4" spans="1:9" ht="20.25" x14ac:dyDescent="0.3">
      <c r="C4" s="69" t="s">
        <v>3729</v>
      </c>
      <c r="D4" s="69"/>
      <c r="E4" s="70" t="s">
        <v>3734</v>
      </c>
      <c r="F4" s="71"/>
      <c r="G4" s="71"/>
      <c r="H4" s="71"/>
      <c r="I4" s="71"/>
    </row>
    <row r="5" spans="1:9" ht="20.25" x14ac:dyDescent="0.3">
      <c r="C5" s="69" t="s">
        <v>3730</v>
      </c>
      <c r="D5" s="69"/>
      <c r="E5" s="70" t="s">
        <v>3733</v>
      </c>
      <c r="F5" s="71"/>
      <c r="G5" s="71"/>
      <c r="H5" s="71"/>
      <c r="I5" s="71"/>
    </row>
    <row r="6" spans="1:9" ht="20.25" x14ac:dyDescent="0.3">
      <c r="C6" s="69" t="s">
        <v>3788</v>
      </c>
      <c r="D6" s="69"/>
      <c r="E6" s="70" t="s">
        <v>3735</v>
      </c>
      <c r="F6" s="71"/>
      <c r="G6" s="71"/>
      <c r="H6" s="71"/>
      <c r="I6" s="71"/>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6" t="s">
        <v>3787</v>
      </c>
      <c r="D1" s="76"/>
      <c r="E1" s="76"/>
      <c r="F1" s="76"/>
      <c r="G1" s="76"/>
      <c r="H1" s="76"/>
      <c r="I1" s="76"/>
    </row>
    <row r="2" spans="3:9" ht="20.25" x14ac:dyDescent="0.3">
      <c r="C2" s="75" t="s">
        <v>3726</v>
      </c>
      <c r="D2" s="75"/>
      <c r="E2" s="73" t="s">
        <v>3732</v>
      </c>
      <c r="F2" s="74"/>
      <c r="G2" s="74"/>
      <c r="H2" s="74"/>
      <c r="I2" s="74"/>
    </row>
    <row r="3" spans="3:9" ht="20.25" x14ac:dyDescent="0.3">
      <c r="C3" s="75" t="s">
        <v>3728</v>
      </c>
      <c r="D3" s="75"/>
      <c r="E3" s="70">
        <v>900235498</v>
      </c>
      <c r="F3" s="71"/>
      <c r="G3" s="71"/>
      <c r="H3" s="71"/>
      <c r="I3" s="71"/>
    </row>
    <row r="4" spans="3:9" ht="20.25" x14ac:dyDescent="0.3">
      <c r="C4" s="75" t="s">
        <v>3729</v>
      </c>
      <c r="D4" s="75"/>
      <c r="E4" s="70" t="s">
        <v>3734</v>
      </c>
      <c r="F4" s="71"/>
      <c r="G4" s="71"/>
      <c r="H4" s="71"/>
      <c r="I4" s="71"/>
    </row>
    <row r="5" spans="3:9" ht="20.25" x14ac:dyDescent="0.3">
      <c r="C5" s="75" t="s">
        <v>3730</v>
      </c>
      <c r="D5" s="75"/>
      <c r="E5" s="70" t="s">
        <v>3733</v>
      </c>
      <c r="F5" s="71"/>
      <c r="G5" s="71"/>
      <c r="H5" s="71"/>
      <c r="I5" s="71"/>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8" t="s">
        <v>3727</v>
      </c>
      <c r="C2" s="78"/>
      <c r="D2" s="78"/>
      <c r="E2" s="78"/>
      <c r="F2" s="78"/>
    </row>
    <row r="3" spans="2:6" ht="20.25" x14ac:dyDescent="0.3">
      <c r="B3" s="77" t="s">
        <v>3726</v>
      </c>
      <c r="C3" s="77"/>
      <c r="D3" s="71" t="s">
        <v>3732</v>
      </c>
      <c r="E3" s="71"/>
      <c r="F3" s="71"/>
    </row>
    <row r="4" spans="2:6" ht="20.25" x14ac:dyDescent="0.3">
      <c r="B4" s="77" t="s">
        <v>3728</v>
      </c>
      <c r="C4" s="77"/>
      <c r="D4" s="71">
        <v>900235498</v>
      </c>
      <c r="E4" s="71"/>
      <c r="F4" s="71"/>
    </row>
    <row r="5" spans="2:6" ht="20.25" x14ac:dyDescent="0.3">
      <c r="B5" s="77" t="s">
        <v>3729</v>
      </c>
      <c r="C5" s="77"/>
      <c r="D5" s="71" t="s">
        <v>3734</v>
      </c>
      <c r="E5" s="71"/>
      <c r="F5" s="71"/>
    </row>
    <row r="6" spans="2:6" ht="20.25" x14ac:dyDescent="0.3">
      <c r="B6" s="77" t="s">
        <v>3730</v>
      </c>
      <c r="C6" s="77"/>
      <c r="D6" s="71" t="s">
        <v>3733</v>
      </c>
      <c r="E6" s="71"/>
      <c r="F6" s="71"/>
    </row>
    <row r="7" spans="2:6" ht="20.25" x14ac:dyDescent="0.3">
      <c r="B7" s="77" t="s">
        <v>3731</v>
      </c>
      <c r="C7" s="77"/>
      <c r="D7" s="71" t="s">
        <v>3735</v>
      </c>
      <c r="E7" s="71"/>
      <c r="F7" s="71"/>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6" t="s">
        <v>3784</v>
      </c>
      <c r="C2" s="76"/>
      <c r="D2" s="76"/>
      <c r="E2" s="76"/>
      <c r="F2" s="76"/>
      <c r="G2" s="76"/>
      <c r="H2" s="76"/>
      <c r="I2" s="76"/>
    </row>
    <row r="3" spans="2:9" ht="20.25" x14ac:dyDescent="0.3">
      <c r="B3" s="75" t="s">
        <v>3726</v>
      </c>
      <c r="C3" s="75"/>
      <c r="D3" s="79" t="s">
        <v>3732</v>
      </c>
      <c r="E3" s="79"/>
      <c r="F3" s="79"/>
      <c r="G3" s="79"/>
      <c r="H3" s="79"/>
      <c r="I3" s="79"/>
    </row>
    <row r="4" spans="2:9" ht="20.25" x14ac:dyDescent="0.3">
      <c r="B4" s="75" t="s">
        <v>3728</v>
      </c>
      <c r="C4" s="75"/>
      <c r="D4" s="79">
        <v>900235498</v>
      </c>
      <c r="E4" s="79"/>
      <c r="F4" s="79"/>
      <c r="G4" s="79"/>
      <c r="H4" s="79"/>
      <c r="I4" s="79"/>
    </row>
    <row r="5" spans="2:9" ht="20.25" x14ac:dyDescent="0.3">
      <c r="B5" s="75" t="s">
        <v>3729</v>
      </c>
      <c r="C5" s="75"/>
      <c r="D5" s="79" t="s">
        <v>3734</v>
      </c>
      <c r="E5" s="79"/>
      <c r="F5" s="79"/>
      <c r="G5" s="79"/>
      <c r="H5" s="79"/>
      <c r="I5" s="79"/>
    </row>
    <row r="6" spans="2:9" ht="20.25" x14ac:dyDescent="0.3">
      <c r="B6" s="75" t="s">
        <v>3730</v>
      </c>
      <c r="C6" s="75"/>
      <c r="D6" s="79" t="s">
        <v>3733</v>
      </c>
      <c r="E6" s="79"/>
      <c r="F6" s="79"/>
      <c r="G6" s="79"/>
      <c r="H6" s="79"/>
      <c r="I6" s="79"/>
    </row>
    <row r="7" spans="2:9" ht="20.25" x14ac:dyDescent="0.3">
      <c r="B7" s="75" t="s">
        <v>3731</v>
      </c>
      <c r="C7" s="75"/>
      <c r="D7" s="79" t="s">
        <v>3735</v>
      </c>
      <c r="E7" s="79"/>
      <c r="F7" s="79"/>
      <c r="G7" s="79"/>
      <c r="H7" s="79"/>
      <c r="I7" s="79"/>
    </row>
    <row r="9" spans="2:9" ht="20.25" x14ac:dyDescent="0.3">
      <c r="F9" s="75" t="s">
        <v>3774</v>
      </c>
      <c r="G9" s="75"/>
      <c r="H9" s="80">
        <v>1700000</v>
      </c>
      <c r="I9" s="80"/>
    </row>
    <row r="10" spans="2:9" ht="20.25" x14ac:dyDescent="0.3">
      <c r="F10" s="75" t="s">
        <v>3775</v>
      </c>
      <c r="G10" s="75"/>
      <c r="H10" s="80">
        <v>1529200</v>
      </c>
      <c r="I10" s="80"/>
    </row>
    <row r="11" spans="2:9" ht="20.25" x14ac:dyDescent="0.3">
      <c r="F11" s="75" t="s">
        <v>3776</v>
      </c>
      <c r="G11" s="75"/>
      <c r="H11" s="80">
        <v>1529200</v>
      </c>
      <c r="I11" s="80"/>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5" t="s">
        <v>3781</v>
      </c>
      <c r="C34" s="75"/>
      <c r="D34" s="75"/>
      <c r="F34" s="75" t="s">
        <v>3782</v>
      </c>
      <c r="G34" s="75"/>
      <c r="H34" s="75"/>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5" t="s">
        <v>3781</v>
      </c>
      <c r="C44" s="75"/>
      <c r="D44" s="75"/>
      <c r="E44" s="6">
        <v>143000</v>
      </c>
      <c r="F44" s="7"/>
    </row>
    <row r="45" spans="2:8" ht="20.25" x14ac:dyDescent="0.3">
      <c r="B45" s="75" t="s">
        <v>3782</v>
      </c>
      <c r="C45" s="75"/>
      <c r="D45" s="75"/>
      <c r="E45" s="6">
        <v>27800</v>
      </c>
      <c r="F45" s="7"/>
    </row>
    <row r="46" spans="2:8" ht="20.25" x14ac:dyDescent="0.3">
      <c r="B46" s="75" t="s">
        <v>3783</v>
      </c>
      <c r="C46" s="75"/>
      <c r="D46" s="75"/>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6" t="s">
        <v>3785</v>
      </c>
      <c r="C1" s="76"/>
      <c r="D1" s="76"/>
      <c r="E1" s="76"/>
      <c r="F1" s="76"/>
      <c r="G1" s="8"/>
      <c r="H1" s="8"/>
      <c r="I1" s="8"/>
    </row>
    <row r="2" spans="2:9" ht="20.25" x14ac:dyDescent="0.3">
      <c r="B2" s="75" t="s">
        <v>3726</v>
      </c>
      <c r="C2" s="75"/>
      <c r="D2" s="79" t="s">
        <v>3732</v>
      </c>
      <c r="E2" s="79"/>
      <c r="F2" s="79"/>
      <c r="G2" s="9"/>
      <c r="H2" s="9"/>
      <c r="I2" s="9"/>
    </row>
    <row r="3" spans="2:9" ht="20.25" x14ac:dyDescent="0.3">
      <c r="B3" s="75" t="s">
        <v>3728</v>
      </c>
      <c r="C3" s="75"/>
      <c r="D3" s="79">
        <v>900235498</v>
      </c>
      <c r="E3" s="79"/>
      <c r="F3" s="79"/>
      <c r="G3" s="9"/>
      <c r="H3" s="9"/>
      <c r="I3" s="9"/>
    </row>
    <row r="4" spans="2:9" ht="20.25" x14ac:dyDescent="0.3">
      <c r="B4" s="75" t="s">
        <v>3729</v>
      </c>
      <c r="C4" s="75"/>
      <c r="D4" s="79" t="s">
        <v>3734</v>
      </c>
      <c r="E4" s="79"/>
      <c r="F4" s="79"/>
      <c r="G4" s="9"/>
      <c r="H4" s="9"/>
      <c r="I4" s="9"/>
    </row>
    <row r="5" spans="2:9" ht="20.25" x14ac:dyDescent="0.3">
      <c r="B5" s="75" t="s">
        <v>3730</v>
      </c>
      <c r="C5" s="75"/>
      <c r="D5" s="79" t="s">
        <v>3733</v>
      </c>
      <c r="E5" s="79"/>
      <c r="F5" s="79"/>
      <c r="G5" s="9"/>
      <c r="H5" s="9"/>
      <c r="I5" s="9"/>
    </row>
    <row r="6" spans="2:9" ht="20.25" x14ac:dyDescent="0.3">
      <c r="B6" s="75" t="s">
        <v>3731</v>
      </c>
      <c r="C6" s="75"/>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I3:M20"/>
  <sheetViews>
    <sheetView zoomScale="70" workbookViewId="0">
      <selection sqref="A1:E42"/>
    </sheetView>
  </sheetViews>
  <sheetFormatPr baseColWidth="10" defaultRowHeight="15" x14ac:dyDescent="0.25"/>
  <cols>
    <col min="1" max="1" width="12.42578125" bestFit="1" customWidth="1"/>
    <col min="2" max="2" width="48.85546875" bestFit="1" customWidth="1"/>
    <col min="3" max="3" width="14.5703125" bestFit="1" customWidth="1"/>
    <col min="4" max="4" width="13.5703125" bestFit="1" customWidth="1"/>
    <col min="5" max="5" width="14.85546875" bestFit="1"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9:13" x14ac:dyDescent="0.25">
      <c r="I3" t="s">
        <v>3939</v>
      </c>
      <c r="J3" t="s">
        <v>3940</v>
      </c>
      <c r="K3" t="s">
        <v>3941</v>
      </c>
      <c r="L3" t="s">
        <v>3942</v>
      </c>
      <c r="M3" s="4" t="s">
        <v>3943</v>
      </c>
    </row>
    <row r="4" spans="9:13" x14ac:dyDescent="0.25">
      <c r="I4" t="s">
        <v>4080</v>
      </c>
      <c r="J4" t="s">
        <v>4081</v>
      </c>
      <c r="K4" t="s">
        <v>4082</v>
      </c>
      <c r="L4" t="s">
        <v>3966</v>
      </c>
      <c r="M4" s="4" t="s">
        <v>4085</v>
      </c>
    </row>
    <row r="5" spans="9:13" x14ac:dyDescent="0.25">
      <c r="I5" t="s">
        <v>4083</v>
      </c>
      <c r="J5" t="s">
        <v>4081</v>
      </c>
      <c r="K5" t="s">
        <v>4084</v>
      </c>
      <c r="L5" t="s">
        <v>3966</v>
      </c>
      <c r="M5" s="4" t="s">
        <v>4086</v>
      </c>
    </row>
    <row r="6" spans="9:13" x14ac:dyDescent="0.25">
      <c r="I6" t="s">
        <v>4087</v>
      </c>
      <c r="J6" t="s">
        <v>4081</v>
      </c>
      <c r="K6" t="s">
        <v>4089</v>
      </c>
      <c r="L6" t="s">
        <v>3966</v>
      </c>
      <c r="M6" s="4" t="s">
        <v>4091</v>
      </c>
    </row>
    <row r="7" spans="9:13" x14ac:dyDescent="0.25">
      <c r="I7" t="s">
        <v>4088</v>
      </c>
      <c r="J7" t="s">
        <v>4081</v>
      </c>
      <c r="K7" t="s">
        <v>4090</v>
      </c>
      <c r="L7" t="s">
        <v>3966</v>
      </c>
      <c r="M7" s="4" t="s">
        <v>4092</v>
      </c>
    </row>
    <row r="8" spans="9:13" x14ac:dyDescent="0.25">
      <c r="I8" t="s">
        <v>4093</v>
      </c>
      <c r="J8" t="s">
        <v>4081</v>
      </c>
      <c r="K8" t="s">
        <v>4096</v>
      </c>
      <c r="L8" t="s">
        <v>3966</v>
      </c>
      <c r="M8" s="4" t="s">
        <v>4099</v>
      </c>
    </row>
    <row r="9" spans="9:13" x14ac:dyDescent="0.25">
      <c r="I9" t="s">
        <v>4094</v>
      </c>
      <c r="J9" t="s">
        <v>4081</v>
      </c>
      <c r="K9" t="s">
        <v>4097</v>
      </c>
      <c r="L9" t="s">
        <v>3966</v>
      </c>
      <c r="M9" s="4" t="s">
        <v>4100</v>
      </c>
    </row>
    <row r="10" spans="9:13" x14ac:dyDescent="0.25">
      <c r="I10" t="s">
        <v>4095</v>
      </c>
      <c r="J10" t="s">
        <v>4081</v>
      </c>
      <c r="K10" t="s">
        <v>4098</v>
      </c>
      <c r="L10" t="s">
        <v>3966</v>
      </c>
      <c r="M10" s="4" t="s">
        <v>4101</v>
      </c>
    </row>
    <row r="11" spans="9:13" x14ac:dyDescent="0.25">
      <c r="I11" t="s">
        <v>4102</v>
      </c>
      <c r="J11" t="s">
        <v>4081</v>
      </c>
      <c r="K11" t="s">
        <v>4108</v>
      </c>
      <c r="L11" t="s">
        <v>3966</v>
      </c>
      <c r="M11" s="4" t="s">
        <v>4103</v>
      </c>
    </row>
    <row r="12" spans="9:13" x14ac:dyDescent="0.25">
      <c r="I12" t="s">
        <v>4104</v>
      </c>
      <c r="J12" t="s">
        <v>4081</v>
      </c>
      <c r="K12" t="s">
        <v>4109</v>
      </c>
      <c r="L12" t="s">
        <v>3966</v>
      </c>
      <c r="M12" s="4" t="s">
        <v>4105</v>
      </c>
    </row>
    <row r="13" spans="9:13" x14ac:dyDescent="0.25">
      <c r="I13" t="s">
        <v>4106</v>
      </c>
      <c r="J13" t="s">
        <v>4081</v>
      </c>
      <c r="K13" t="s">
        <v>4110</v>
      </c>
      <c r="L13" t="s">
        <v>3966</v>
      </c>
      <c r="M13" s="4" t="s">
        <v>4112</v>
      </c>
    </row>
    <row r="14" spans="9:13" x14ac:dyDescent="0.25">
      <c r="I14" t="s">
        <v>4107</v>
      </c>
      <c r="J14" t="s">
        <v>4081</v>
      </c>
      <c r="K14" t="s">
        <v>4111</v>
      </c>
      <c r="L14" t="s">
        <v>3966</v>
      </c>
      <c r="M14" s="68" t="s">
        <v>4113</v>
      </c>
    </row>
    <row r="15" spans="9:13" x14ac:dyDescent="0.25">
      <c r="I15" t="s">
        <v>4114</v>
      </c>
      <c r="J15" t="s">
        <v>4081</v>
      </c>
      <c r="K15" t="s">
        <v>4119</v>
      </c>
      <c r="L15" t="s">
        <v>3966</v>
      </c>
      <c r="M15" s="68" t="s">
        <v>4115</v>
      </c>
    </row>
    <row r="16" spans="9:13" x14ac:dyDescent="0.25">
      <c r="I16" t="s">
        <v>4116</v>
      </c>
      <c r="J16" t="s">
        <v>4081</v>
      </c>
      <c r="K16" t="s">
        <v>4120</v>
      </c>
      <c r="L16" t="s">
        <v>3966</v>
      </c>
      <c r="M16" s="68" t="s">
        <v>4123</v>
      </c>
    </row>
    <row r="17" spans="9:13" x14ac:dyDescent="0.25">
      <c r="I17" t="s">
        <v>4117</v>
      </c>
      <c r="J17" t="s">
        <v>4081</v>
      </c>
      <c r="K17" t="s">
        <v>4121</v>
      </c>
      <c r="L17" t="s">
        <v>3966</v>
      </c>
      <c r="M17" s="68" t="s">
        <v>4124</v>
      </c>
    </row>
    <row r="18" spans="9:13" x14ac:dyDescent="0.25">
      <c r="I18" t="s">
        <v>4118</v>
      </c>
      <c r="J18" t="s">
        <v>4081</v>
      </c>
      <c r="K18" t="s">
        <v>4122</v>
      </c>
      <c r="L18" t="s">
        <v>3966</v>
      </c>
      <c r="M18" s="68" t="s">
        <v>4125</v>
      </c>
    </row>
    <row r="19" spans="9:13" x14ac:dyDescent="0.25">
      <c r="I19" t="s">
        <v>4126</v>
      </c>
      <c r="J19" t="s">
        <v>4081</v>
      </c>
      <c r="K19" t="s">
        <v>4127</v>
      </c>
      <c r="L19" t="s">
        <v>3966</v>
      </c>
      <c r="M19" s="68" t="s">
        <v>4128</v>
      </c>
    </row>
    <row r="20" spans="9:13" x14ac:dyDescent="0.25">
      <c r="I20" t="s">
        <v>4</v>
      </c>
      <c r="M20" s="24">
        <f>SUBTOTAL(103,tbl_registros_libro_mayor[Titulos tablas])</f>
        <v>16</v>
      </c>
    </row>
  </sheetData>
  <phoneticPr fontId="6"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6" t="s">
        <v>3787</v>
      </c>
      <c r="D2" s="76"/>
      <c r="E2" s="76"/>
      <c r="F2" s="76"/>
      <c r="G2" s="76"/>
      <c r="H2" s="76"/>
      <c r="I2" s="76"/>
    </row>
    <row r="3" spans="3:9" ht="20.25" x14ac:dyDescent="0.3">
      <c r="C3" s="75" t="s">
        <v>3726</v>
      </c>
      <c r="D3" s="75"/>
      <c r="E3" s="73" t="s">
        <v>3732</v>
      </c>
      <c r="F3" s="74"/>
      <c r="G3" s="74"/>
      <c r="H3" s="74"/>
      <c r="I3" s="74"/>
    </row>
    <row r="4" spans="3:9" ht="20.25" x14ac:dyDescent="0.3">
      <c r="C4" s="75" t="s">
        <v>3728</v>
      </c>
      <c r="D4" s="75"/>
      <c r="E4" s="70">
        <v>900235498</v>
      </c>
      <c r="F4" s="71"/>
      <c r="G4" s="71"/>
      <c r="H4" s="71"/>
      <c r="I4" s="71"/>
    </row>
    <row r="5" spans="3:9" ht="20.25" x14ac:dyDescent="0.3">
      <c r="C5" s="75" t="s">
        <v>3729</v>
      </c>
      <c r="D5" s="75"/>
      <c r="E5" s="70" t="s">
        <v>3734</v>
      </c>
      <c r="F5" s="71"/>
      <c r="G5" s="71"/>
      <c r="H5" s="71"/>
      <c r="I5" s="71"/>
    </row>
    <row r="6" spans="3:9" ht="20.25" x14ac:dyDescent="0.3">
      <c r="C6" s="75" t="s">
        <v>3730</v>
      </c>
      <c r="D6" s="75"/>
      <c r="E6" s="70" t="s">
        <v>3733</v>
      </c>
      <c r="F6" s="71"/>
      <c r="G6" s="71"/>
      <c r="H6" s="71"/>
      <c r="I6" s="71"/>
    </row>
    <row r="7" spans="3:9" ht="20.25" x14ac:dyDescent="0.3">
      <c r="C7" s="75" t="s">
        <v>3788</v>
      </c>
      <c r="D7" s="75"/>
      <c r="E7" s="70" t="s">
        <v>3735</v>
      </c>
      <c r="F7" s="71"/>
      <c r="G7" s="71"/>
      <c r="H7" s="71"/>
      <c r="I7" s="71"/>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D3"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6" t="s">
        <v>3822</v>
      </c>
      <c r="D1" s="86"/>
      <c r="E1" s="86"/>
      <c r="F1" s="86"/>
      <c r="G1" s="86"/>
    </row>
    <row r="2" spans="3:10" ht="20.25" x14ac:dyDescent="0.3">
      <c r="C2" s="84" t="s">
        <v>3726</v>
      </c>
      <c r="D2" s="85"/>
      <c r="E2" s="81" t="s">
        <v>3732</v>
      </c>
      <c r="F2" s="82"/>
      <c r="G2" s="83"/>
    </row>
    <row r="3" spans="3:10" ht="20.25" x14ac:dyDescent="0.3">
      <c r="C3" s="84" t="s">
        <v>3728</v>
      </c>
      <c r="D3" s="85"/>
      <c r="E3" s="81">
        <v>900235498</v>
      </c>
      <c r="F3" s="82"/>
      <c r="G3" s="83"/>
    </row>
    <row r="4" spans="3:10" ht="20.25" x14ac:dyDescent="0.3">
      <c r="C4" s="84" t="s">
        <v>3730</v>
      </c>
      <c r="D4" s="85"/>
      <c r="E4" s="81" t="s">
        <v>3733</v>
      </c>
      <c r="F4" s="82"/>
      <c r="G4" s="83"/>
      <c r="J4" s="4"/>
    </row>
    <row r="5" spans="3:10" ht="20.25" x14ac:dyDescent="0.3">
      <c r="C5" s="84" t="s">
        <v>3823</v>
      </c>
      <c r="D5" s="85"/>
      <c r="E5" s="81" t="s">
        <v>3824</v>
      </c>
      <c r="F5" s="82"/>
      <c r="G5" s="83"/>
    </row>
    <row r="6" spans="3:10" ht="20.25" x14ac:dyDescent="0.3">
      <c r="C6" s="84" t="s">
        <v>3825</v>
      </c>
      <c r="D6" s="85"/>
      <c r="E6" s="81" t="s">
        <v>3826</v>
      </c>
      <c r="F6" s="82"/>
      <c r="G6" s="83"/>
      <c r="J6" s="4"/>
    </row>
    <row r="7" spans="3:10" ht="20.25" x14ac:dyDescent="0.3">
      <c r="C7" s="84" t="s">
        <v>3827</v>
      </c>
      <c r="D7" s="85"/>
      <c r="E7" s="87">
        <v>10000000</v>
      </c>
      <c r="F7" s="88"/>
      <c r="G7" s="89"/>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2"/>
  <sheetViews>
    <sheetView tabSelected="1" topLeftCell="C1" workbookViewId="0">
      <selection activeCell="G9" sqref="G9"/>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row r="42" spans="1:5" x14ac:dyDescent="0.25">
      <c r="A42" s="5"/>
      <c r="B42" s="24" t="s">
        <v>4129</v>
      </c>
      <c r="C42" s="24"/>
      <c r="D42">
        <v>1452141.09</v>
      </c>
      <c r="E42">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4" t="s">
        <v>3726</v>
      </c>
      <c r="C7" s="85"/>
      <c r="D7" s="79" t="s">
        <v>3732</v>
      </c>
      <c r="E7" s="79"/>
      <c r="F7" s="79"/>
    </row>
    <row r="8" spans="2:9" ht="20.25" x14ac:dyDescent="0.3">
      <c r="B8" s="90" t="s">
        <v>3728</v>
      </c>
      <c r="C8" s="90"/>
      <c r="D8" s="79">
        <v>900235498</v>
      </c>
      <c r="E8" s="79"/>
      <c r="F8" s="79"/>
    </row>
    <row r="9" spans="2:9" ht="20.25" x14ac:dyDescent="0.3">
      <c r="B9" s="90" t="s">
        <v>3730</v>
      </c>
      <c r="C9" s="90"/>
      <c r="D9" s="79" t="s">
        <v>3733</v>
      </c>
      <c r="E9" s="79"/>
      <c r="F9" s="79"/>
    </row>
    <row r="10" spans="2:9" ht="20.25" x14ac:dyDescent="0.3">
      <c r="B10" s="90" t="s">
        <v>3823</v>
      </c>
      <c r="C10" s="90"/>
      <c r="D10" s="79" t="s">
        <v>3824</v>
      </c>
      <c r="E10" s="79"/>
      <c r="F10" s="79"/>
    </row>
    <row r="11" spans="2:9" ht="20.25" x14ac:dyDescent="0.3">
      <c r="B11" s="25" t="s">
        <v>3836</v>
      </c>
      <c r="C11" s="26"/>
      <c r="D11" s="25" t="s">
        <v>3837</v>
      </c>
    </row>
    <row r="13" spans="2:9" ht="18.75" x14ac:dyDescent="0.25">
      <c r="B13" s="91" t="s">
        <v>3838</v>
      </c>
      <c r="C13" s="92"/>
      <c r="D13" s="92"/>
      <c r="E13" s="93"/>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6" t="s">
        <v>3822</v>
      </c>
      <c r="D2" s="86"/>
      <c r="E2" s="86"/>
      <c r="F2" s="86"/>
      <c r="G2" s="86"/>
    </row>
    <row r="3" spans="2:7" ht="20.25" x14ac:dyDescent="0.3">
      <c r="C3" s="84" t="s">
        <v>3726</v>
      </c>
      <c r="D3" s="85"/>
      <c r="E3" s="81" t="s">
        <v>3732</v>
      </c>
      <c r="F3" s="82"/>
      <c r="G3" s="83"/>
    </row>
    <row r="4" spans="2:7" ht="20.25" x14ac:dyDescent="0.3">
      <c r="C4" s="84" t="s">
        <v>3728</v>
      </c>
      <c r="D4" s="85"/>
      <c r="E4" s="81">
        <v>900235498</v>
      </c>
      <c r="F4" s="82"/>
      <c r="G4" s="83"/>
    </row>
    <row r="5" spans="2:7" ht="20.25" x14ac:dyDescent="0.3">
      <c r="C5" s="84" t="s">
        <v>3730</v>
      </c>
      <c r="D5" s="85"/>
      <c r="E5" s="81" t="s">
        <v>3733</v>
      </c>
      <c r="F5" s="82"/>
      <c r="G5" s="83"/>
    </row>
    <row r="6" spans="2:7" ht="20.25" x14ac:dyDescent="0.3">
      <c r="C6" s="84" t="s">
        <v>3823</v>
      </c>
      <c r="D6" s="85"/>
      <c r="E6" s="81" t="s">
        <v>3824</v>
      </c>
      <c r="F6" s="82"/>
      <c r="G6" s="83"/>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6" t="s">
        <v>3822</v>
      </c>
      <c r="D1" s="86"/>
      <c r="E1" s="86"/>
      <c r="F1" s="86"/>
      <c r="G1" s="86"/>
    </row>
    <row r="2" spans="3:19" ht="20.25" x14ac:dyDescent="0.3">
      <c r="C2" s="84" t="s">
        <v>3726</v>
      </c>
      <c r="D2" s="85"/>
      <c r="E2" s="81" t="s">
        <v>3732</v>
      </c>
      <c r="F2" s="82"/>
      <c r="G2" s="83"/>
    </row>
    <row r="3" spans="3:19" ht="20.25" x14ac:dyDescent="0.3">
      <c r="C3" s="84" t="s">
        <v>3728</v>
      </c>
      <c r="D3" s="85"/>
      <c r="E3" s="81">
        <v>900235498</v>
      </c>
      <c r="F3" s="82"/>
      <c r="G3" s="83"/>
    </row>
    <row r="4" spans="3:19" ht="20.25" x14ac:dyDescent="0.3">
      <c r="C4" s="84" t="s">
        <v>3730</v>
      </c>
      <c r="D4" s="85"/>
      <c r="E4" s="81" t="s">
        <v>3733</v>
      </c>
      <c r="F4" s="82"/>
      <c r="G4" s="83"/>
    </row>
    <row r="5" spans="3:19" ht="20.25" x14ac:dyDescent="0.3">
      <c r="C5" s="84" t="s">
        <v>3823</v>
      </c>
      <c r="D5" s="85"/>
      <c r="E5" s="81" t="s">
        <v>3824</v>
      </c>
      <c r="F5" s="82"/>
      <c r="G5" s="83"/>
    </row>
    <row r="6" spans="3:19" ht="20.25" x14ac:dyDescent="0.3">
      <c r="C6" s="84" t="s">
        <v>3825</v>
      </c>
      <c r="D6" s="85"/>
      <c r="E6" s="81" t="s">
        <v>3826</v>
      </c>
      <c r="F6" s="82"/>
      <c r="G6" s="83"/>
    </row>
    <row r="7" spans="3:19" ht="20.25" x14ac:dyDescent="0.3">
      <c r="C7" s="84" t="s">
        <v>3978</v>
      </c>
      <c r="D7" s="85"/>
      <c r="E7" s="87">
        <f>tbl_libro_auxiliar_bancos[[#Totals],[Saldo]]</f>
        <v>8430820</v>
      </c>
      <c r="F7" s="88"/>
      <c r="G7" s="89"/>
    </row>
    <row r="8" spans="3:19" ht="20.25" x14ac:dyDescent="0.3">
      <c r="C8" s="84" t="s">
        <v>3979</v>
      </c>
      <c r="D8" s="85"/>
      <c r="E8" s="87">
        <f>'Extracto Cta Bancolombia'!F60</f>
        <v>11452141.09</v>
      </c>
      <c r="F8" s="88"/>
      <c r="G8" s="89"/>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5" t="s">
        <v>4011</v>
      </c>
      <c r="D13" s="95"/>
      <c r="E13" s="95"/>
      <c r="G13" s="95" t="s">
        <v>4044</v>
      </c>
      <c r="H13" s="95"/>
      <c r="I13" s="95"/>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6" t="s">
        <v>4012</v>
      </c>
      <c r="D23" s="96"/>
      <c r="E23" s="96"/>
      <c r="G23" s="96" t="s">
        <v>4045</v>
      </c>
      <c r="H23" s="96"/>
      <c r="I23" s="96"/>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7" t="s">
        <v>4013</v>
      </c>
      <c r="D32" s="97"/>
      <c r="E32" s="97"/>
      <c r="G32" s="97" t="s">
        <v>4051</v>
      </c>
      <c r="H32" s="97"/>
      <c r="I32" s="97"/>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8" t="s">
        <v>4014</v>
      </c>
      <c r="D46" s="98"/>
      <c r="E46" s="98"/>
      <c r="G46" s="98" t="s">
        <v>4046</v>
      </c>
      <c r="H46" s="98"/>
      <c r="I46" s="98"/>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7" t="s">
        <v>4015</v>
      </c>
      <c r="D52" s="97"/>
      <c r="E52" s="97"/>
      <c r="G52" s="97" t="s">
        <v>4047</v>
      </c>
      <c r="H52" s="97"/>
      <c r="I52" s="97"/>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8" t="s">
        <v>4016</v>
      </c>
      <c r="D58" s="98"/>
      <c r="E58" s="98"/>
      <c r="G58" s="98" t="s">
        <v>4048</v>
      </c>
      <c r="H58" s="98"/>
      <c r="I58" s="98"/>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7" t="s">
        <v>4017</v>
      </c>
      <c r="D64" s="97"/>
      <c r="E64" s="97"/>
      <c r="G64" s="97" t="s">
        <v>4049</v>
      </c>
      <c r="H64" s="97"/>
      <c r="I64" s="97"/>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8" t="s">
        <v>4018</v>
      </c>
      <c r="D70" s="98"/>
      <c r="E70" s="98"/>
      <c r="G70" s="98" t="s">
        <v>4050</v>
      </c>
      <c r="H70" s="98"/>
      <c r="I70" s="98"/>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4" t="s">
        <v>4001</v>
      </c>
      <c r="D74" s="94"/>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4" t="s">
        <v>4043</v>
      </c>
      <c r="H74" s="94"/>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2024-06-14T22:46:11Z</dcterms:modified>
</cp:coreProperties>
</file>