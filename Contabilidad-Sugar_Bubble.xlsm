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drawings/drawing9.xml" ContentType="application/vnd.openxmlformats-officedocument.drawing+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11.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ECBF9BA0-2E32-4167-B782-D8587ED12EF5}" xr6:coauthVersionLast="47" xr6:coauthVersionMax="47" xr10:uidLastSave="{00000000-0000-0000-0000-000000000000}"/>
  <bookViews>
    <workbookView xWindow="-120" yWindow="-120" windowWidth="20730" windowHeight="11040" firstSheet="9" activeTab="11"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Reconocimientos_contables" sheetId="7" r:id="rId7"/>
    <sheet name="Libro Auxiliar Bancos" sheetId="11" r:id="rId8"/>
    <sheet name="tbl_extracto (2)" sheetId="14" r:id="rId9"/>
    <sheet name="Extracto Cta Bancolombia" sheetId="12" r:id="rId10"/>
    <sheet name="hoja_trabajo_conciliacion_banca" sheetId="16" r:id="rId11"/>
    <sheet name="Conciliacion Bancaria" sheetId="17" r:id="rId12"/>
    <sheet name="Instrumentos financieros" sheetId="13" r:id="rId13"/>
    <sheet name="PUC" sheetId="3" r:id="rId14"/>
  </sheets>
  <functionGroups builtInGroupCount="19"/>
  <definedNames>
    <definedName name="_xlnm.Print_Area" localSheetId="3">apertura_caja_menor!$B$2:$F$16</definedName>
    <definedName name="_xlnm.Print_Area" localSheetId="9">'Extracto Cta Bancolombia'!$A$1:$F$60</definedName>
    <definedName name="_xlnm.Print_Area" localSheetId="4">Hoja_trabajo!$B$2:$I$47</definedName>
    <definedName name="_xlnm.Print_Area" localSheetId="7">'Libro Auxiliar Bancos'!$C$1:$H$41</definedName>
    <definedName name="_xlnm.Print_Area" localSheetId="5">Reconocimiento_reembolso_CM!$B$1:$F$36</definedName>
    <definedName name="DatosExternos_1" localSheetId="8" hidden="1">'tbl_extracto (2)'!$A$1:$E$13</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4" i="17" l="1"/>
  <c r="E61" i="17"/>
  <c r="O28" i="17"/>
  <c r="I73" i="17"/>
  <c r="I67" i="17"/>
  <c r="I61" i="17"/>
  <c r="I55" i="17"/>
  <c r="I49" i="17"/>
  <c r="I43" i="17"/>
  <c r="I29" i="17"/>
  <c r="I20" i="17"/>
  <c r="I15" i="12"/>
  <c r="J6" i="11" l="1"/>
  <c r="E73" i="17"/>
  <c r="E67" i="17"/>
  <c r="E49" i="17"/>
  <c r="E55" i="17"/>
  <c r="E43" i="17"/>
  <c r="E29" i="17"/>
  <c r="E20" i="17"/>
  <c r="S28" i="17"/>
  <c r="V47" i="13"/>
  <c r="U47" i="13"/>
  <c r="V43" i="13"/>
  <c r="U43" i="13"/>
  <c r="V38" i="13"/>
  <c r="U38" i="13"/>
  <c r="V29" i="13"/>
  <c r="U29" i="13"/>
  <c r="V24" i="13"/>
  <c r="U24" i="13"/>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E60" i="12"/>
  <c r="E5" i="13"/>
  <c r="D5" i="13"/>
  <c r="E18" i="13"/>
  <c r="D18" i="13"/>
  <c r="E11" i="13"/>
  <c r="D11" i="13"/>
  <c r="G41" i="11"/>
  <c r="F41" i="11"/>
  <c r="F36" i="5"/>
  <c r="E36"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406361-FCBF-405D-A39B-4C61E63C521E}" keepAlive="1" name="Consulta - Table001 (Extracto Cta Bancolombia)" description="Conexión a la consulta 'Table001 (Extracto Cta Bancolombia)' en el libro." type="5" refreshedVersion="7" background="1" saveData="1">
    <dbPr connection="Provider=Microsoft.Mashup.OleDb.1;Data Source=$Workbook$;Location=&quot;Table001 (Extracto Cta Bancolombia)&quot;;Extended Properties=&quot;&quot;" command="SELECT * FROM [Table001 (Extracto Cta Bancolombia)]"/>
  </connection>
  <connection id="2" xr16:uid="{97344949-D3BE-44A4-84CB-BD31D6E35157}" keepAlive="1" name="Consulta - Table001 (Page 1)" description="Conexión a la consulta 'Table001 (Page 1)' en el libro." type="5" refreshedVersion="7" background="1" saveData="1">
    <dbPr connection="Provider=Microsoft.Mashup.OleDb.1;Data Source=$Workbook$;Location=&quot;Table001 (Page 1)&quot;;Extended Properties=&quot;&quot;" command="SELECT * FROM [Table001 (Page 1)]"/>
  </connection>
  <connection id="3" xr16:uid="{26979322-446E-4960-9EB8-0F3688ABE99D}" keepAlive="1" name="Consulta - Table002 (Extracto Cta Bancolombia)" description="Conexión a la consulta 'Table002 (Extracto Cta Bancolombia)' en el libro." type="5" refreshedVersion="7" background="1" saveData="1">
    <dbPr connection="Provider=Microsoft.Mashup.OleDb.1;Data Source=$Workbook$;Location=&quot;Table002 (Extracto Cta Bancolombia)&quot;;Extended Properties=&quot;&quot;" command="SELECT * FROM [Table002 (Extracto Cta Bancolombia)]"/>
  </connection>
  <connection id="4" xr16:uid="{00C3BD86-73E4-4C58-B414-D3AC4217C6DD}" keepAlive="1" name="Consulta - Table002 (Page 1)" description="Conexión a la consulta 'Table002 (Page 1)' en el libro." type="5" refreshedVersion="7" minRefreshableVersion="3" background="1" saveData="1">
    <dbPr connection="Provider=Microsoft.Mashup.OleDb.1;Data Source=$Workbook$;Location=&quot;Table002 (Page 1)&quot;;Extended Properties=&quot;&quot;" command="SELECT * FROM [Table002 (Page 1)]"/>
  </connection>
  <connection id="5" xr16:uid="{8F16AFD1-6E20-4E6E-B9A3-E931C7096D7C}" keepAlive="1" name="Consulta - tbl_extracto" description="Conexión a la consulta 'tbl_extracto' en el libro." type="5" refreshedVersion="7" background="1" saveData="1">
    <dbPr connection="Provider=Microsoft.Mashup.OleDb.1;Data Source=$Workbook$;Location=tbl_extracto;Extended Properties=&quot;&quot;" command="SELECT * FROM [tbl_extracto]"/>
  </connection>
  <connection id="6" xr16:uid="{137F3511-ABC7-4981-9BBA-539B368C98E6}" keepAlive="1" name="Consulta - tbl_extracto6" description="Conexión a la consulta 'tbl_extracto6' en el libro." type="5" refreshedVersion="0" background="1">
    <dbPr connection="Provider=Microsoft.Mashup.OleDb.1;Data Source=$Workbook$;Location=tbl_extracto6;Extended Properties=&quot;&quot;" command="SELECT * FROM [tbl_extracto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<sst xmlns="http://schemas.openxmlformats.org/spreadsheetml/2006/main" count="5969" uniqueCount="4063">
  <si>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</si>
  <si>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</si>
  <si>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</si>
  <si>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</si>
  <si>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</si>
  <si>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</si>
  <si>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</si>
  <si>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</si>
  <si>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</si>
  <si>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</si>
  <si>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</si>
  <si>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</si>
  <si>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</si>
  <si>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</si>
  <si>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</si>
  <si>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</si>
  <si>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</si>
  <si>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</si>
  <si>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</si>
  <si>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</si>
  <si>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</si>
  <si>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</si>
  <si>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</si>
  <si>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</si>
  <si>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</si>
  <si>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</si>
  <si>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</si>
  <si>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</si>
  <si>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</si>
  <si>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</si>
  <si>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</si>
  <si>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</si>
  <si>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</si>
  <si>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</si>
  <si>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</si>
  <si>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</si>
  <si>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</si>
  <si>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</si>
  <si>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</si>
  <si>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</si>
  <si>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</si>
  <si>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</si>
  <si>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</si>
  <si>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</si>
  <si>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</si>
  <si>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</si>
  <si>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</si>
  <si>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</si>
  <si>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</si>
  <si>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</si>
  <si>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</si>
  <si>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</si>
  <si>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</si>
  <si>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</si>
  <si>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</si>
  <si>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</si>
  <si>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</si>
  <si>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</si>
  <si>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</si>
  <si>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</si>
  <si>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</si>
  <si>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</si>
  <si>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</si>
  <si>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</si>
  <si>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</si>
  <si>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</si>
  <si>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</si>
  <si>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</si>
  <si>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</si>
  <si>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</si>
  <si>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</si>
  <si>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</si>
  <si>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</si>
  <si>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</si>
  <si>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</si>
  <si>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</si>
  <si>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</si>
  <si>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</si>
  <si>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</si>
  <si>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</si>
  <si>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</si>
  <si>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</si>
  <si>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</si>
  <si>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</si>
  <si>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</si>
  <si>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</si>
  <si>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</si>
  <si>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</si>
  <si>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</si>
  <si>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</si>
  <si>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</si>
  <si>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</si>
  <si>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</si>
  <si>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</si>
  <si>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</si>
  <si>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</si>
  <si>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</si>
  <si>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</si>
  <si>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</si>
  <si>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</si>
  <si>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</si>
  <si>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</si>
  <si>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</si>
  <si>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</si>
  <si>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</si>
  <si>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</si>
  <si>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</si>
  <si>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</si>
  <si>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</si>
  <si>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</si>
  <si>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</si>
  <si>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</si>
  <si>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</si>
  <si>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</si>
  <si>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</si>
  <si>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</si>
  <si>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</si>
  <si>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</si>
  <si>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</si>
  <si>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</si>
  <si>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</si>
  <si>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</si>
  <si>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</si>
  <si>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</si>
  <si>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</si>
  <si>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</si>
  <si>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</si>
  <si>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</si>
  <si>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</si>
  <si>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</si>
  <si>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</si>
  <si>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</si>
  <si>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</si>
  <si>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</si>
  <si>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</si>
  <si>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</si>
  <si>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</si>
  <si>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</si>
  <si>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</si>
  <si>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</si>
  <si>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</si>
  <si>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</si>
  <si>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</si>
  <si>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</si>
  <si>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</si>
  <si>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</si>
  <si>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</si>
  <si>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</si>
  <si>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</si>
  <si>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</si>
  <si>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</si>
  <si>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</si>
  <si>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</si>
  <si>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</si>
  <si>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</si>
  <si>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</si>
  <si>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</si>
  <si>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</si>
  <si>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</si>
  <si>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</si>
  <si>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</si>
  <si>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</si>
  <si>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</si>
  <si>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</si>
  <si>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</si>
  <si>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</si>
  <si>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</si>
  <si>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</si>
  <si>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</si>
  <si>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</si>
  <si>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</si>
  <si>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</si>
  <si>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</si>
  <si>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</si>
  <si>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</si>
  <si>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</si>
  <si>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</si>
  <si>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</si>
  <si>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</si>
  <si>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</si>
  <si>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</si>
  <si>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</si>
  <si>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</si>
  <si>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</si>
  <si>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</si>
  <si>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</si>
  <si>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</si>
  <si>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</si>
  <si>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</si>
  <si>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</si>
  <si>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</si>
  <si>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</si>
  <si>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</si>
  <si>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</si>
  <si>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</si>
  <si>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</si>
  <si>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</si>
  <si>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</si>
  <si>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</si>
  <si>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</si>
  <si>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</si>
  <si>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</si>
  <si>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</si>
  <si>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</si>
  <si>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</si>
  <si>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</si>
  <si>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</si>
  <si>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</si>
  <si>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</si>
  <si>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</si>
  <si>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</si>
  <si>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</si>
  <si>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</si>
  <si>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</si>
  <si>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</si>
  <si>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</si>
  <si>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</si>
  <si>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</si>
  <si>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</si>
  <si>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</si>
  <si>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</si>
  <si>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</si>
  <si>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</si>
  <si>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</si>
  <si>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</si>
  <si>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</si>
  <si>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</si>
  <si>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</si>
  <si>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</si>
  <si>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</si>
  <si>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</si>
  <si>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</si>
  <si>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</si>
  <si>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</si>
  <si>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</si>
  <si>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</si>
  <si>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</si>
  <si>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</si>
  <si>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</si>
  <si>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</si>
  <si>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</si>
  <si>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</si>
  <si>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</si>
  <si>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</si>
  <si>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</si>
  <si>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</si>
  <si>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</si>
  <si>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</si>
  <si>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</si>
  <si>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</si>
  <si>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</si>
  <si>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</si>
  <si>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</si>
  <si>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</si>
  <si>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</si>
  <si>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</si>
  <si>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</si>
  <si>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</si>
  <si>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</si>
  <si>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</si>
  <si>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</si>
  <si>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</si>
  <si>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</si>
  <si>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</si>
  <si>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</si>
  <si>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</si>
  <si>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</si>
  <si>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</si>
  <si>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</si>
  <si>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</si>
  <si>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</si>
  <si>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</si>
  <si>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</si>
  <si>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</si>
  <si>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</si>
  <si>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</si>
  <si>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</si>
  <si>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</si>
  <si>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</si>
  <si>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</si>
  <si>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</si>
  <si>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</si>
  <si>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</si>
  <si>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</si>
  <si>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</si>
  <si>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</si>
  <si>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</si>
  <si>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</si>
  <si>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</si>
  <si>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</si>
  <si>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</si>
  <si>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</si>
  <si>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</si>
  <si>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</si>
  <si>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</si>
  <si>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</si>
  <si>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</si>
  <si>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</si>
  <si>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</si>
  <si>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</si>
  <si>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</si>
  <si>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</si>
  <si>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</si>
  <si>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</si>
  <si>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</si>
  <si>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</si>
  <si>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</si>
  <si>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</si>
  <si>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</si>
  <si>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</si>
  <si>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</si>
  <si>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</si>
  <si>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</si>
  <si>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</si>
  <si>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</si>
  <si>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</si>
  <si>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</si>
  <si>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</si>
  <si>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</si>
  <si>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</si>
  <si>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</si>
  <si>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</si>
  <si>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</si>
  <si>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</si>
  <si>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</si>
  <si>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</si>
  <si>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</si>
  <si>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</si>
  <si>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</si>
  <si>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</si>
  <si>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</si>
  <si>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</si>
  <si>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</si>
  <si>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</si>
  <si>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</si>
  <si>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</si>
  <si>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</si>
  <si>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</si>
  <si>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</si>
  <si>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</si>
  <si>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</si>
  <si>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</si>
  <si>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</si>
  <si>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</si>
  <si>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</si>
  <si>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</si>
  <si>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</si>
  <si>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</si>
  <si>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</si>
  <si>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</si>
  <si>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</si>
  <si>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</si>
  <si>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</si>
  <si>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</si>
  <si>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</si>
  <si>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</si>
  <si>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</si>
  <si>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</si>
  <si>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</si>
  <si>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</si>
  <si>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</si>
  <si>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</si>
  <si>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</si>
  <si>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</si>
  <si>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</si>
  <si>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</si>
  <si>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</si>
  <si>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</si>
  <si>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</si>
  <si>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</si>
  <si>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</si>
  <si>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</si>
  <si>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</si>
  <si>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</si>
  <si>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</si>
  <si>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</si>
  <si>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</si>
  <si>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</si>
  <si>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</si>
  <si>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</si>
  <si>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</si>
  <si>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</si>
  <si>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</si>
  <si>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</si>
  <si>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</si>
  <si>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</si>
  <si>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</si>
  <si>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</si>
  <si>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</si>
  <si>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</si>
  <si>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</si>
  <si>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</si>
  <si>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</si>
  <si>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</si>
  <si>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</si>
  <si>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</si>
  <si>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</si>
  <si>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</si>
  <si>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</si>
  <si>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</si>
  <si>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</si>
  <si>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</si>
  <si>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</si>
  <si>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</si>
  <si>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</si>
  <si>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</si>
  <si>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</si>
  <si>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</si>
  <si>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</si>
  <si>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</si>
  <si>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</si>
  <si>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</si>
  <si>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</si>
  <si>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</si>
  <si>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</si>
  <si>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</si>
  <si>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</si>
  <si>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</si>
  <si>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</si>
  <si>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</si>
  <si>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</si>
  <si>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</si>
  <si>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</si>
  <si>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</si>
  <si>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</si>
  <si>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</si>
  <si>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</si>
  <si>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</si>
  <si>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</si>
  <si>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</si>
  <si>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</si>
  <si>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</si>
  <si>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</si>
  <si>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</si>
  <si>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</si>
  <si>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</si>
  <si>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</si>
  <si>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</si>
  <si>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</si>
  <si>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</si>
  <si>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</si>
  <si>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</si>
  <si>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</si>
  <si>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</si>
  <si>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</si>
  <si>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</si>
  <si>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</si>
  <si>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</si>
  <si>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</si>
  <si>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</si>
  <si>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</si>
  <si>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</si>
  <si>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</si>
  <si>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</si>
  <si>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</si>
  <si>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</si>
  <si>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</si>
  <si>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</si>
  <si>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</si>
  <si>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</si>
  <si>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</si>
  <si>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</si>
  <si>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</si>
  <si>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</si>
  <si>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</si>
  <si>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</si>
  <si>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</si>
  <si>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</si>
  <si>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</si>
  <si>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</si>
  <si>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</si>
  <si>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</si>
  <si>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</si>
  <si>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</si>
  <si>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</si>
  <si>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</si>
  <si>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</si>
  <si>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</si>
  <si>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</si>
  <si>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</si>
  <si>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</si>
  <si>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</si>
  <si>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</si>
  <si>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</si>
  <si>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</si>
  <si>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</si>
  <si>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</si>
  <si>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</si>
  <si>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</si>
  <si>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</si>
  <si>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</si>
  <si>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</si>
  <si>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</si>
  <si>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</si>
  <si>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</si>
  <si>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</si>
  <si>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</si>
  <si>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</si>
  <si>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</si>
  <si>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</si>
  <si>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</si>
  <si>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</si>
  <si>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</si>
  <si>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</si>
  <si>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</si>
  <si>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</si>
  <si>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</si>
  <si>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</si>
  <si>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</si>
  <si>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</si>
  <si>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</si>
  <si>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</si>
  <si>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</si>
  <si>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</si>
  <si>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</si>
  <si>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</si>
  <si>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</si>
  <si>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</si>
  <si>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</si>
  <si>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</si>
  <si>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</si>
  <si>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</si>
  <si>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</si>
  <si>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</si>
  <si>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</si>
  <si>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</si>
  <si>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</si>
  <si>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</si>
  <si>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</si>
  <si>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</si>
  <si>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</si>
  <si>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</si>
  <si>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</si>
  <si>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</si>
  <si>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</si>
  <si>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</si>
  <si>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</si>
  <si>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</si>
  <si>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</si>
  <si>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</si>
  <si>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</si>
  <si>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</si>
  <si>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</si>
  <si>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</si>
  <si>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</si>
  <si>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</si>
  <si>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</si>
  <si>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</si>
  <si>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</si>
  <si>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</si>
  <si>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</si>
  <si>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</si>
  <si>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</si>
  <si>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</si>
  <si>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</si>
  <si>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</si>
  <si>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</si>
  <si>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</si>
  <si>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</si>
  <si>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</si>
  <si>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</si>
  <si>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</si>
  <si>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</si>
  <si>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</si>
  <si>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</si>
  <si>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</si>
  <si>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</si>
  <si>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</si>
  <si>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</si>
  <si>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</si>
  <si>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</si>
  <si>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</si>
  <si>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</si>
  <si>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</si>
  <si>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</si>
  <si>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</si>
  <si>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</si>
  <si>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</si>
  <si>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</si>
  <si>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</si>
  <si>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</si>
  <si>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</si>
  <si>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</si>
  <si>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</si>
  <si>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</si>
  <si>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</si>
  <si>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</si>
  <si>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</si>
  <si>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</si>
  <si>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</si>
  <si>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</si>
  <si>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</si>
  <si>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</si>
  <si>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</si>
  <si>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</si>
  <si>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</si>
  <si>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</si>
  <si>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</si>
  <si>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</si>
  <si>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</si>
  <si>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</si>
  <si>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</si>
  <si>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</si>
  <si>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</si>
  <si>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</si>
  <si>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</si>
  <si>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</si>
  <si>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</si>
  <si>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</si>
  <si>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</si>
  <si>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</si>
  <si>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</si>
  <si>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</si>
  <si>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</si>
  <si>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</si>
  <si>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</si>
  <si>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</si>
  <si>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</si>
  <si>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</si>
  <si>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</si>
  <si>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</si>
  <si>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</si>
  <si>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</si>
  <si>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</si>
  <si>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</si>
  <si>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</si>
  <si>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</si>
  <si>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</si>
  <si>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</si>
  <si>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</si>
  <si>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</si>
  <si>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</si>
  <si>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</si>
  <si>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</si>
  <si>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</si>
  <si>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</si>
  <si>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</si>
  <si>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</si>
  <si>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</si>
  <si>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</si>
  <si>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</si>
  <si>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</si>
  <si>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</si>
  <si>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</si>
  <si>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</si>
  <si>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</si>
  <si>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</si>
  <si>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</si>
  <si>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</si>
  <si>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</si>
  <si>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</si>
  <si>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</si>
  <si>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</si>
  <si>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</si>
  <si>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</si>
  <si>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</si>
  <si>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</si>
  <si>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</si>
  <si>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</si>
  <si>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</si>
  <si>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</si>
  <si>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</si>
  <si>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</si>
  <si>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</si>
  <si>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</si>
  <si>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</si>
  <si>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</si>
  <si>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</si>
  <si>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</si>
  <si>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</si>
  <si>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</si>
  <si>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</si>
  <si>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</si>
  <si>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</si>
  <si>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</si>
  <si>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</si>
  <si>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</si>
  <si>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</si>
  <si>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</si>
  <si>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</si>
  <si>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</si>
  <si>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</si>
  <si>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</si>
  <si>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</si>
  <si>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</si>
  <si>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</si>
  <si>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</si>
  <si>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</si>
  <si>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</si>
  <si>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</si>
  <si>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</si>
  <si>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</si>
  <si>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</si>
  <si>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</si>
  <si>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</si>
  <si>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</si>
  <si>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</si>
  <si>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</si>
  <si>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</si>
  <si>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</si>
  <si>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</si>
  <si>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</si>
  <si>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</si>
  <si>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</si>
  <si>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</si>
  <si>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</si>
  <si>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</si>
  <si>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</si>
  <si>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</si>
  <si>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</si>
  <si>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</si>
  <si>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</si>
  <si>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</si>
  <si>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</si>
  <si>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</si>
  <si>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</si>
  <si>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</si>
  <si>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</si>
  <si>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</si>
  <si>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</si>
  <si>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</si>
  <si>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</si>
  <si>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</si>
  <si>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</si>
  <si>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</si>
  <si>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</si>
  <si>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</si>
  <si>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</si>
  <si>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</si>
  <si>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</si>
  <si>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</si>
  <si>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</si>
  <si>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</si>
  <si>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</si>
  <si>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</si>
  <si>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</si>
  <si>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</si>
  <si>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</si>
  <si>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</si>
  <si>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</si>
  <si>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</si>
  <si>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</si>
  <si>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</si>
  <si>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</si>
  <si>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</si>
  <si>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</si>
  <si>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</si>
  <si>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</si>
  <si>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</si>
  <si>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</si>
  <si>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</si>
  <si>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</si>
  <si>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</si>
  <si>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</si>
  <si>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</si>
  <si>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</si>
  <si>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</si>
  <si>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</si>
  <si>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</si>
  <si>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</si>
  <si>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</si>
  <si>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</si>
  <si>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</si>
  <si>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</si>
  <si>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</si>
  <si>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</si>
  <si>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</si>
  <si>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</si>
  <si>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</si>
  <si>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</si>
  <si>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</si>
  <si>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</si>
  <si>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</si>
  <si>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</si>
  <si>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</si>
  <si>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</si>
  <si>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</si>
  <si>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</si>
  <si>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</si>
  <si>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</si>
  <si>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</si>
  <si>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</si>
  <si>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</si>
  <si>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</si>
  <si>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</si>
  <si>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</si>
  <si>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</si>
  <si>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</si>
  <si>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</si>
  <si>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</si>
  <si>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</si>
  <si>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</si>
  <si>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</si>
  <si>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</si>
  <si>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</si>
  <si>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</si>
  <si>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</si>
  <si>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</si>
  <si>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</si>
  <si>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</si>
  <si>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</si>
  <si>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</si>
  <si>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</si>
  <si>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</si>
  <si>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</si>
  <si>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</si>
  <si>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</si>
  <si>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</si>
  <si>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</si>
  <si>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</si>
  <si>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</si>
  <si>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</si>
  <si>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</si>
  <si>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</si>
  <si>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</si>
  <si>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</si>
  <si>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</si>
  <si>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</si>
  <si>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</si>
  <si>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</si>
  <si>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</si>
  <si>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</si>
  <si>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</si>
  <si>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</si>
  <si>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</si>
  <si>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</si>
  <si>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</si>
  <si>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</si>
  <si>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</si>
  <si>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</si>
  <si>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</si>
  <si>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</si>
  <si>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</si>
  <si>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</si>
  <si>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</si>
  <si>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</si>
  <si>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</si>
  <si>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</si>
  <si>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</si>
  <si>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</si>
  <si>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</si>
  <si>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</si>
  <si>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</si>
  <si>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</si>
  <si>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</si>
  <si>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</si>
  <si>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</si>
  <si>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</si>
  <si>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</si>
  <si>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</si>
  <si>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</si>
  <si>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</si>
  <si>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</si>
  <si>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</si>
  <si>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</si>
  <si>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</si>
  <si>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</si>
  <si>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</si>
  <si>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</si>
  <si>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</si>
  <si>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</si>
  <si>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</si>
  <si>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</si>
  <si>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</si>
  <si>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</si>
  <si>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</si>
  <si>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</si>
  <si>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</si>
  <si>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</si>
  <si>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</si>
  <si>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</si>
  <si>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</si>
  <si>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</si>
  <si>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</si>
  <si>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</si>
  <si>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</si>
  <si>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</si>
  <si>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</si>
  <si>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</si>
  <si>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</si>
  <si>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</si>
  <si>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</si>
  <si>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</si>
  <si>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</si>
  <si>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</si>
  <si>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</si>
  <si>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</si>
  <si>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</si>
  <si>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</si>
  <si>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</si>
  <si>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</si>
  <si>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</si>
  <si>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</si>
  <si>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</si>
  <si>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</si>
  <si>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</si>
  <si>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</si>
  <si>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</si>
  <si>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</si>
  <si>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</si>
  <si>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</si>
  <si>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</si>
  <si>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</si>
  <si>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</si>
  <si>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</si>
  <si>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</si>
  <si>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</si>
  <si>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</si>
  <si>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</si>
  <si>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</si>
  <si>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</si>
  <si>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</si>
  <si>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</si>
  <si>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</si>
  <si>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</si>
  <si>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</si>
  <si>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</si>
  <si>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</si>
  <si>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</si>
  <si>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</si>
  <si>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</si>
  <si>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</si>
  <si>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</si>
  <si>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</si>
  <si>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</si>
  <si>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</si>
  <si>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</si>
  <si>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</si>
  <si>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</si>
  <si>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</si>
  <si>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</si>
  <si>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</si>
  <si>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</si>
  <si>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</si>
  <si>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</si>
  <si>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</si>
  <si>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</si>
  <si>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</si>
  <si>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</si>
  <si>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</si>
  <si>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</si>
  <si>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</si>
  <si>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</si>
  <si>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</si>
  <si>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</si>
  <si>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</si>
  <si>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</si>
  <si>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</si>
  <si>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</si>
  <si>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</si>
  <si>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</si>
  <si>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</si>
  <si>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</si>
  <si>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</si>
  <si>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</si>
  <si>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</si>
  <si>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</si>
  <si>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</si>
  <si>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</si>
  <si>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</si>
  <si>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</si>
  <si>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</si>
  <si>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</si>
  <si>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</si>
  <si>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</si>
  <si>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</si>
  <si>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</si>
  <si>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</si>
  <si>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</si>
  <si>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</si>
  <si>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</si>
  <si>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</si>
  <si>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</si>
  <si>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</si>
  <si>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</si>
  <si>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</si>
  <si>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</si>
  <si>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</si>
  <si>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</si>
  <si>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</si>
  <si>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</si>
  <si>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</si>
  <si>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</si>
  <si>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</si>
  <si>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</si>
  <si>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</si>
  <si>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</si>
  <si>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</si>
  <si>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</si>
  <si>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</si>
  <si>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</si>
  <si>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</si>
  <si>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</si>
  <si>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</si>
  <si>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</si>
  <si>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</si>
  <si>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</si>
  <si>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</si>
  <si>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</si>
  <si>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</si>
  <si>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</si>
  <si>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</si>
  <si>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</si>
  <si>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</si>
  <si>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</si>
  <si>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</si>
  <si>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</si>
  <si>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</si>
  <si>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</si>
  <si>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</si>
  <si>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</si>
  <si>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</si>
  <si>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</si>
  <si>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</si>
  <si>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</si>
  <si>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</si>
  <si>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</si>
  <si>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</si>
  <si>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</si>
  <si>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</si>
  <si>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</si>
  <si>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</si>
  <si>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</si>
  <si>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</si>
  <si>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</si>
  <si>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</si>
  <si>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</si>
  <si>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</si>
  <si>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</si>
  <si>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</si>
  <si>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</si>
  <si>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</si>
  <si>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</si>
  <si>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</si>
  <si>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</si>
  <si>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</si>
  <si>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</si>
  <si>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</si>
  <si>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</si>
  <si>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</si>
  <si>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</si>
  <si>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</si>
  <si>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</si>
  <si>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</si>
  <si>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</si>
  <si>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</si>
  <si>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</si>
  <si>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</si>
  <si>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</si>
  <si>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</si>
  <si>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</si>
  <si>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</si>
  <si>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</si>
  <si>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</si>
  <si>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</si>
  <si>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</si>
  <si>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</si>
  <si>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</si>
  <si>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</si>
  <si>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</si>
  <si>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</si>
  <si>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</si>
  <si>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</si>
  <si>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</si>
  <si>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</si>
  <si>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</si>
  <si>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</si>
  <si>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</si>
  <si>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</si>
  <si>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</si>
  <si>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</si>
  <si>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</si>
  <si>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</si>
  <si>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</si>
  <si>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</si>
  <si>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</si>
  <si>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</si>
  <si>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</si>
  <si>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</si>
  <si>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</si>
  <si>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</si>
  <si>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</si>
  <si>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</si>
  <si>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</si>
  <si>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</si>
  <si>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</si>
  <si>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</si>
  <si>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</si>
  <si>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</si>
  <si>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</si>
  <si>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</si>
  <si>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</si>
  <si>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</si>
  <si>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</si>
  <si>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</si>
  <si>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</si>
  <si>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</si>
  <si>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</si>
  <si>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</si>
  <si>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</si>
  <si>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</si>
  <si>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</si>
  <si>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</si>
  <si>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</si>
  <si>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</si>
  <si>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</si>
  <si>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</si>
  <si>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</si>
  <si>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</si>
  <si>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</si>
  <si>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</si>
  <si>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</si>
  <si>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</si>
  <si>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</si>
  <si>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</si>
  <si>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</si>
  <si>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</si>
  <si>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</si>
  <si>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</si>
  <si>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</si>
  <si>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</si>
  <si>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</si>
  <si>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</si>
  <si>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</si>
  <si>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</si>
  <si>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</si>
  <si>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</si>
  <si>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</si>
  <si>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</si>
  <si>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</si>
  <si>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</si>
  <si>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</si>
  <si>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</si>
  <si>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</si>
  <si>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</si>
  <si>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</si>
  <si>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</si>
  <si>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</si>
  <si>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</si>
  <si>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</si>
  <si>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</si>
  <si>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</si>
  <si>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</si>
  <si>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</si>
  <si>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</si>
  <si>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</si>
  <si>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</si>
  <si>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</si>
  <si>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</si>
  <si>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</si>
  <si>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</si>
  <si>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</si>
  <si>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</si>
  <si>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</si>
  <si>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</si>
  <si>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</si>
  <si>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</si>
  <si>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</si>
  <si>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</si>
  <si>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</si>
  <si>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</si>
  <si>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</si>
  <si>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</si>
  <si>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</si>
  <si>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</si>
  <si>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</si>
  <si>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</si>
  <si>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</si>
  <si>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</si>
  <si>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</si>
  <si>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</si>
  <si>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</si>
  <si>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</si>
  <si>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</si>
  <si>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</si>
  <si>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</si>
  <si>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</si>
  <si>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</si>
  <si>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</si>
  <si>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</si>
  <si>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</si>
  <si>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</si>
  <si>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</si>
  <si>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</si>
  <si>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</si>
  <si>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</si>
  <si>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</si>
  <si>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</si>
  <si>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</si>
  <si>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</si>
  <si>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</si>
  <si>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</si>
  <si>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</si>
  <si>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</si>
  <si>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</si>
  <si>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</si>
  <si>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</si>
  <si>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</si>
  <si>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</si>
  <si>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</si>
  <si>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</si>
  <si>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</si>
  <si>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</si>
  <si>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</si>
  <si>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</si>
  <si>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</si>
  <si>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</si>
  <si>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</si>
  <si>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</si>
  <si>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</si>
  <si>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</si>
  <si>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</si>
  <si>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</si>
  <si>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</si>
  <si>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</si>
  <si>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</si>
  <si>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</si>
  <si>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</si>
  <si>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</si>
  <si>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</si>
  <si>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</si>
  <si>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</si>
  <si>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</si>
  <si>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</si>
  <si>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</si>
  <si>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</si>
  <si>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</si>
  <si>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</si>
  <si>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</si>
  <si>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</si>
  <si>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</si>
  <si>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</si>
  <si>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</si>
  <si>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</si>
  <si>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</si>
  <si>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</si>
  <si>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</si>
  <si>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</si>
  <si>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</si>
  <si>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</si>
  <si>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</si>
  <si>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</si>
  <si>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</si>
  <si>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</si>
  <si>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</si>
  <si>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</si>
  <si>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</si>
  <si>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</si>
  <si>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</si>
  <si>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</si>
  <si>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</si>
  <si>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</si>
  <si>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</si>
  <si>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</si>
  <si>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</si>
  <si>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</si>
  <si>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</si>
  <si>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</si>
  <si>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</si>
  <si>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</si>
  <si>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</si>
  <si>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</si>
  <si>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</si>
  <si>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</si>
  <si>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</si>
  <si>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</si>
  <si>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</si>
  <si>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</si>
  <si>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</si>
  <si>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</si>
  <si>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</si>
  <si>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</si>
  <si>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</si>
  <si>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</si>
  <si>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</si>
  <si>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</si>
  <si>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</si>
  <si>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</si>
  <si>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</si>
  <si>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</si>
  <si>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</si>
  <si>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</si>
  <si>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</si>
  <si>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</si>
  <si>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</si>
  <si>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</si>
  <si>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</si>
  <si>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</si>
  <si>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</si>
  <si>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</si>
  <si>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</si>
  <si>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</si>
  <si>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</si>
  <si>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</si>
  <si>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</si>
  <si>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</si>
  <si>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</si>
  <si>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</si>
  <si>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</si>
  <si>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</si>
  <si>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</si>
  <si>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</si>
  <si>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</si>
  <si>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</si>
  <si>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</si>
  <si>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</si>
  <si>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</si>
  <si>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</si>
  <si>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</si>
  <si>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</si>
  <si>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</si>
  <si>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</si>
  <si>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</si>
  <si>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</si>
  <si>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</si>
  <si>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</si>
  <si>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</si>
  <si>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</si>
  <si>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</si>
  <si>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</si>
  <si>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</si>
  <si>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</si>
  <si>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</si>
  <si>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</si>
  <si>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</si>
  <si>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</si>
  <si>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</si>
  <si>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</si>
  <si>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</si>
  <si>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</si>
  <si>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</si>
  <si>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</si>
  <si>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</si>
  <si>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</si>
  <si>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</si>
  <si>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</si>
  <si>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</si>
  <si>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</si>
  <si>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</si>
  <si>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</si>
  <si>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</si>
  <si>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</si>
  <si>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</si>
  <si>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</si>
  <si>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</si>
  <si>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</si>
  <si>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</si>
  <si>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</si>
  <si>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</si>
  <si>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</si>
  <si>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</si>
  <si>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</si>
  <si>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</si>
  <si>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</si>
  <si>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</si>
  <si>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</si>
  <si>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</si>
  <si>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</si>
  <si>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</si>
  <si>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</si>
  <si>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</si>
  <si>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</si>
  <si>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</si>
  <si>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</si>
  <si>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</si>
  <si>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</si>
  <si>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</si>
  <si>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</si>
  <si>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</si>
  <si>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</si>
  <si>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</si>
  <si>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</si>
  <si>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</si>
  <si>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</si>
  <si>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</si>
  <si>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</si>
  <si>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</si>
  <si>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</si>
  <si>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</si>
  <si>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</si>
  <si>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</si>
  <si>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</si>
  <si>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</si>
  <si>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</si>
  <si>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</si>
  <si>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</si>
  <si>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</si>
  <si>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</si>
  <si>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</si>
  <si>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</si>
  <si>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</si>
  <si>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</si>
  <si>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</si>
  <si>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</si>
  <si>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</si>
  <si>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</si>
  <si>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</si>
  <si>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</si>
  <si>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</si>
  <si>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</si>
  <si>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</si>
  <si>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</si>
  <si>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</si>
  <si>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</si>
  <si>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</si>
  <si>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</si>
  <si>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</si>
  <si>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</si>
  <si>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</si>
  <si>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</si>
  <si>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</si>
  <si>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</si>
  <si>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</si>
  <si>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</si>
  <si>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</si>
  <si>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</si>
  <si>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</si>
  <si>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</si>
  <si>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</si>
  <si>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</si>
  <si>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</si>
  <si>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</si>
  <si>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</si>
  <si>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</si>
  <si>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</si>
  <si>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</si>
  <si>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</si>
  <si>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</si>
  <si>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</si>
  <si>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</si>
  <si>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</si>
  <si>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</si>
  <si>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</si>
  <si>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</si>
  <si>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</si>
  <si>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</si>
  <si>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</si>
  <si>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</si>
  <si>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</si>
  <si>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</si>
  <si>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</si>
  <si>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</si>
  <si>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</si>
  <si>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</si>
  <si>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</si>
  <si>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</si>
  <si>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</si>
  <si>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</si>
  <si>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</si>
  <si>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</si>
  <si>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</si>
  <si>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</si>
  <si>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</si>
  <si>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</si>
  <si>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</si>
  <si>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</si>
  <si>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</si>
  <si>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</si>
  <si>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</si>
  <si>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</si>
  <si>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</si>
  <si>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</si>
  <si>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</si>
  <si>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</si>
  <si>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</si>
  <si>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</si>
  <si>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</si>
  <si>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</si>
  <si>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</si>
  <si>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</si>
  <si>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</si>
  <si>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</si>
  <si>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</si>
  <si>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</si>
  <si>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</si>
  <si>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</si>
  <si>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</si>
  <si>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</si>
  <si>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</si>
  <si>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</si>
  <si>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</si>
  <si>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</si>
  <si>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</si>
  <si>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</si>
  <si>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</si>
  <si>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</si>
  <si>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</si>
  <si>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</si>
  <si>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</si>
  <si>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</si>
  <si>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</si>
  <si>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</si>
  <si>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</si>
  <si>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</si>
  <si>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</si>
  <si>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</si>
  <si>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</si>
  <si>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</si>
  <si>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</si>
  <si>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</si>
  <si>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</si>
  <si>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</si>
  <si>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</si>
  <si>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</si>
  <si>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</si>
  <si>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</si>
  <si>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</si>
  <si>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</si>
  <si>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</si>
  <si>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</si>
  <si>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</si>
  <si>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</si>
  <si>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</si>
  <si>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</si>
  <si>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</si>
  <si>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</si>
  <si>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</si>
  <si>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</si>
  <si>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</si>
  <si>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</si>
  <si>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</si>
  <si>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</si>
  <si>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</si>
  <si>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</si>
  <si>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</si>
  <si>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</si>
  <si>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</si>
  <si>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</si>
  <si>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</si>
  <si>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</si>
  <si>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</si>
  <si>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</si>
  <si>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</si>
  <si>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</si>
  <si>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</si>
  <si>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</si>
  <si>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</si>
  <si>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</si>
  <si>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</si>
  <si>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</si>
  <si>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</si>
  <si>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</si>
  <si>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</si>
  <si>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</si>
  <si>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</si>
  <si>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</si>
  <si>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</si>
  <si>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</si>
  <si>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</si>
  <si>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</si>
  <si>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</si>
  <si>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</si>
  <si>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</si>
  <si>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</si>
  <si>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</si>
  <si>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</si>
  <si>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</si>
  <si>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</si>
  <si>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</si>
  <si>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</si>
  <si>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</si>
  <si>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</si>
  <si>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</si>
  <si>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</si>
  <si>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</si>
  <si>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</si>
  <si>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</si>
  <si>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</si>
  <si>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</si>
  <si>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</si>
  <si>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</si>
  <si>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</si>
  <si>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</si>
  <si>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</si>
  <si>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</si>
  <si>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</si>
  <si>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</si>
  <si>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</si>
  <si>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</si>
  <si>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</si>
  <si>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</si>
  <si>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</si>
  <si>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</si>
  <si>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</si>
  <si>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</si>
  <si>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</si>
  <si>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</si>
  <si>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</si>
  <si>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</si>
  <si>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</si>
  <si>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</si>
  <si>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</si>
  <si>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</si>
  <si>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</si>
  <si>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</si>
  <si>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</si>
  <si>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</si>
  <si>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</si>
  <si>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</si>
  <si>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</si>
  <si>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</si>
  <si>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</si>
  <si>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</si>
  <si>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</si>
  <si>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</si>
  <si>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</si>
  <si>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</si>
  <si>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</si>
  <si>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</si>
  <si>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</si>
  <si>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</si>
  <si>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</si>
  <si>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</si>
  <si>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</si>
  <si>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</si>
  <si>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</si>
  <si>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</si>
  <si>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</si>
  <si>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</si>
  <si>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</si>
  <si>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</si>
  <si>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</si>
  <si>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</si>
  <si>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</si>
  <si>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</si>
  <si>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</si>
  <si>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</si>
  <si>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</si>
  <si>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</si>
  <si>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</si>
  <si>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</si>
  <si>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</si>
  <si>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</si>
  <si>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</si>
  <si>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</si>
  <si>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</si>
  <si>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</si>
  <si>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</si>
  <si>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</si>
  <si>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</si>
  <si>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</si>
  <si>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</si>
  <si>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</si>
  <si>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</si>
  <si>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</si>
  <si>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</si>
  <si>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</si>
  <si>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</si>
  <si>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</si>
  <si>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</si>
  <si>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</si>
  <si>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</si>
  <si>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</si>
  <si>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</si>
  <si>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</si>
  <si>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</si>
  <si>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</si>
  <si>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</si>
  <si>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</si>
  <si>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</si>
  <si>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</si>
  <si>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</si>
  <si>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</si>
  <si>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</si>
  <si>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</si>
  <si>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</si>
  <si>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</si>
  <si>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</si>
  <si>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</si>
  <si>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</si>
  <si>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</si>
  <si>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</si>
  <si>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</si>
  <si>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</si>
  <si>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</si>
  <si>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</si>
  <si>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</si>
  <si>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</si>
  <si>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</si>
  <si>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</si>
  <si>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</si>
  <si>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</si>
  <si>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</si>
  <si>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</si>
  <si>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</si>
  <si>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</si>
  <si>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</si>
  <si>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</si>
  <si>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</si>
  <si>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</si>
  <si>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</si>
  <si>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</si>
  <si>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</si>
  <si>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</si>
  <si>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</si>
  <si>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</si>
  <si>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</si>
  <si>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</si>
  <si>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</si>
  <si>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</si>
  <si>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</si>
  <si>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</si>
  <si>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</si>
  <si>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</si>
  <si>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</si>
  <si>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</si>
  <si>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</si>
  <si>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</si>
  <si>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</si>
  <si>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</si>
  <si>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</si>
  <si>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</si>
  <si>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</si>
  <si>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</si>
  <si>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</si>
  <si>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</si>
  <si>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</si>
  <si>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</si>
  <si>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</si>
  <si>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</si>
  <si>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</si>
  <si>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</si>
  <si>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</si>
  <si>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</si>
  <si>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</si>
  <si>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</si>
  <si>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</si>
  <si>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</si>
  <si>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</si>
  <si>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</si>
  <si>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</si>
  <si>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</si>
  <si>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</si>
  <si>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</si>
  <si>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</si>
  <si>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</si>
  <si>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</si>
  <si>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</si>
  <si>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</si>
  <si>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</si>
  <si>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</si>
  <si>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</si>
  <si>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</si>
  <si>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</si>
  <si>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</si>
  <si>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</si>
  <si>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</si>
  <si>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</si>
  <si>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</si>
  <si>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</si>
  <si>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</si>
  <si>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</si>
  <si>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</si>
  <si>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</si>
  <si>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</si>
  <si>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</si>
  <si>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</si>
  <si>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</si>
  <si>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</si>
  <si>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</si>
  <si>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</si>
  <si>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</si>
  <si>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</si>
  <si>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</si>
  <si>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</si>
  <si>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</si>
  <si>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</si>
  <si>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</si>
  <si>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</si>
  <si>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</si>
  <si>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</si>
  <si>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</si>
  <si>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</si>
  <si>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</si>
  <si>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</si>
  <si>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</si>
  <si>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</si>
  <si>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</si>
  <si>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</si>
  <si>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</si>
  <si>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</si>
  <si>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</si>
  <si>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</si>
  <si>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</si>
  <si>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</si>
  <si>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</si>
  <si>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</si>
  <si>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</si>
  <si>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</si>
  <si>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</si>
  <si>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</si>
  <si>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</si>
  <si>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</si>
  <si>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</si>
  <si>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</si>
  <si>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</si>
  <si>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</si>
  <si>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</si>
  <si>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</si>
  <si>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</si>
  <si>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</si>
  <si>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</si>
  <si>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</si>
  <si>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</si>
  <si>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</si>
  <si>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</si>
  <si>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</si>
  <si>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</si>
  <si>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</si>
  <si>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</si>
  <si>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</si>
  <si>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</si>
  <si>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</si>
  <si>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</si>
  <si>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</si>
  <si>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</si>
  <si>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</si>
  <si>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</si>
  <si>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</si>
  <si>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</si>
  <si>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</si>
  <si>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</si>
  <si>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</si>
  <si>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</si>
  <si>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</si>
  <si>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</si>
  <si>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</si>
  <si>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</si>
  <si>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</si>
  <si>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</si>
  <si>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</si>
  <si>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</si>
  <si>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</si>
  <si>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</si>
  <si>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</si>
  <si>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</si>
  <si>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</si>
  <si>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</si>
  <si>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</si>
  <si>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</si>
  <si>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</si>
  <si>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</si>
  <si>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</si>
  <si>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</si>
  <si>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</si>
  <si>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</si>
  <si>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</si>
  <si>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</si>
  <si>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</si>
  <si>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</si>
  <si>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</si>
  <si>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</si>
  <si>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</si>
  <si>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</si>
  <si>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</si>
  <si>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</si>
  <si>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</si>
  <si>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</si>
  <si>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</si>
  <si>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</si>
  <si>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</si>
  <si>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</si>
  <si>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</si>
  <si>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</si>
  <si>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</si>
  <si>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</si>
  <si>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</si>
  <si>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</si>
  <si>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</si>
  <si>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</si>
  <si>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</si>
  <si>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</si>
  <si>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</si>
  <si>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</si>
  <si>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</si>
  <si>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</si>
  <si>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</si>
  <si>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</si>
  <si>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</si>
  <si>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</si>
  <si>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</si>
  <si>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</si>
  <si>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</si>
  <si>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</si>
  <si>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</si>
  <si>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</si>
  <si>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</si>
  <si>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</si>
  <si>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</si>
  <si>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</si>
  <si>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</si>
  <si>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</si>
  <si>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</si>
  <si>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</si>
  <si>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</si>
  <si>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</si>
  <si>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</si>
  <si>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</si>
  <si>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</si>
  <si>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</si>
  <si>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</si>
  <si>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</si>
  <si>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</si>
  <si>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</si>
  <si>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</si>
  <si>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</si>
  <si>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</si>
  <si>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</si>
  <si>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</si>
  <si>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</si>
  <si>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</si>
  <si>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</si>
  <si>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</si>
  <si>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</si>
  <si>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</si>
  <si>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</si>
  <si>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</si>
  <si>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</si>
  <si>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</si>
  <si>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</si>
  <si>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</si>
  <si>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</si>
  <si>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</si>
  <si>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</si>
  <si>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</si>
  <si>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</si>
  <si>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</si>
  <si>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</si>
  <si>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</si>
  <si>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</si>
  <si>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</si>
  <si>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</si>
  <si>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</si>
  <si>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</si>
  <si>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</si>
  <si>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</si>
  <si>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</si>
  <si>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</si>
  <si>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</si>
  <si>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</si>
  <si>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</si>
  <si>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</si>
  <si>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</si>
  <si>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</si>
  <si>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</si>
  <si>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</si>
  <si>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</si>
  <si>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</si>
  <si>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</si>
  <si>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</si>
  <si>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</si>
  <si>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</si>
  <si>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</si>
  <si>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</si>
  <si>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</si>
  <si>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</si>
  <si>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</si>
  <si>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</si>
  <si>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</si>
  <si>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</si>
  <si>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</si>
  <si>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</si>
  <si>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</si>
  <si>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</si>
  <si>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</si>
  <si>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</si>
  <si>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</si>
  <si>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</si>
  <si>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</si>
  <si>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</si>
  <si>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</si>
  <si>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</si>
  <si>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</si>
  <si>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</si>
  <si>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</si>
  <si>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</si>
  <si>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</si>
  <si>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</si>
  <si>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</si>
  <si>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</si>
  <si>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</si>
  <si>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</si>
  <si>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</si>
  <si>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</si>
  <si>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</si>
  <si>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</si>
  <si>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</si>
  <si>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</si>
  <si>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</si>
  <si>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</si>
  <si>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</si>
  <si>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</si>
  <si>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</si>
  <si>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</si>
  <si>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</si>
  <si>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</si>
  <si>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</si>
  <si>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</si>
  <si>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</si>
  <si>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</si>
  <si>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</si>
  <si>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</si>
  <si>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</si>
  <si>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</si>
  <si>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</si>
  <si>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</si>
  <si>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</si>
  <si>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</si>
  <si>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</si>
  <si>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</si>
  <si>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</si>
  <si>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</si>
  <si>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</si>
  <si>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</si>
  <si>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</si>
  <si>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</si>
  <si>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</si>
  <si>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</si>
  <si>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</si>
  <si>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</si>
  <si>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</si>
  <si>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</si>
  <si>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</si>
  <si>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</si>
  <si>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</si>
  <si>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</si>
  <si>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</si>
  <si>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</si>
  <si>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</si>
  <si>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</si>
  <si>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</si>
  <si>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</si>
  <si>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</si>
  <si>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</si>
  <si>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</si>
  <si>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</si>
  <si>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</si>
  <si>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</si>
  <si>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</si>
  <si>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</si>
  <si>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</si>
  <si>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</si>
  <si>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</si>
  <si>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</si>
  <si>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</si>
  <si>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</si>
  <si>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</si>
  <si>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</si>
  <si>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</si>
  <si>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</si>
  <si>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</si>
  <si>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</si>
  <si>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</si>
  <si>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</si>
  <si>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</si>
  <si>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</si>
  <si>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</si>
  <si>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</si>
  <si>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</si>
  <si>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</si>
  <si>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</si>
  <si>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</si>
  <si>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</si>
  <si>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</si>
  <si>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</si>
  <si>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</si>
  <si>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</si>
  <si>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</si>
  <si>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</si>
  <si>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</si>
  <si>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</si>
  <si>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</si>
  <si>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</si>
  <si>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</si>
  <si>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</si>
  <si>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</si>
  <si>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</si>
  <si>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</si>
  <si>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</si>
  <si>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</si>
  <si>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</si>
  <si>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</si>
  <si>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</si>
  <si>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</si>
  <si>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</si>
  <si>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</si>
  <si>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</si>
  <si>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</si>
  <si>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</si>
  <si>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</si>
  <si>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</si>
  <si>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</si>
  <si>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</si>
  <si>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</si>
  <si>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</si>
  <si>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</si>
  <si>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</si>
  <si>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</si>
  <si>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</si>
  <si>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</si>
  <si>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</si>
  <si>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</si>
  <si>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</si>
  <si>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</si>
  <si>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</si>
  <si>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</si>
  <si>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</si>
  <si>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</si>
  <si>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</si>
  <si>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</si>
  <si>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</si>
  <si>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</si>
  <si>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</si>
  <si>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</si>
  <si>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</si>
  <si>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</si>
  <si>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</si>
  <si>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</si>
  <si>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</si>
  <si>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</si>
  <si>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</si>
  <si>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</si>
  <si>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</si>
  <si>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</si>
  <si>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</si>
  <si>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</si>
  <si>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</si>
  <si>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</si>
  <si>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</si>
  <si>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</si>
  <si>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</si>
  <si>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</si>
  <si>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</si>
  <si>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</si>
  <si>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</si>
  <si>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</si>
  <si>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</si>
  <si>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</si>
  <si>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</si>
  <si>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</si>
  <si>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</si>
  <si>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</si>
  <si>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</si>
  <si>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</si>
  <si>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</si>
  <si>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</si>
  <si>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</si>
  <si>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</si>
  <si>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</si>
  <si>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</si>
  <si>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</si>
  <si>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</si>
  <si>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</si>
  <si>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</si>
  <si>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</si>
  <si>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</si>
  <si>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</si>
  <si>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</si>
  <si>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</si>
  <si>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</si>
  <si>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</si>
  <si>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</si>
  <si>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</si>
  <si>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</si>
  <si>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</si>
  <si>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</si>
  <si>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</si>
  <si>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</si>
  <si>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</si>
  <si>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</si>
  <si>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</si>
  <si>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</si>
  <si>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</si>
  <si>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</si>
  <si>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</si>
  <si>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</si>
  <si>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</si>
  <si>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</si>
  <si>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</si>
  <si>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</si>
  <si>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</si>
  <si>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</si>
  <si>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</si>
  <si>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</si>
  <si>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</si>
  <si>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</si>
  <si>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</si>
  <si>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</si>
  <si>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</si>
  <si>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</si>
  <si>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</si>
  <si>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</si>
  <si>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</si>
  <si>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</si>
  <si>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</si>
  <si>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</si>
  <si>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</si>
  <si>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</si>
  <si>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</si>
  <si>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</si>
  <si>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</si>
  <si>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</si>
  <si>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</si>
  <si>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</si>
  <si>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</si>
  <si>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</si>
  <si>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</si>
  <si>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</si>
  <si>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</si>
  <si>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</si>
  <si>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</si>
  <si>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</si>
  <si>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</si>
  <si>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</si>
  <si>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</si>
  <si>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</si>
  <si>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</si>
  <si>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</si>
  <si>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</si>
  <si>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</si>
  <si>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</si>
  <si>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</si>
  <si>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</si>
  <si>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</si>
  <si>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</si>
  <si>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</si>
  <si>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</si>
  <si>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</si>
  <si>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</si>
  <si>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</si>
  <si>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</si>
  <si>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</si>
  <si>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</si>
  <si>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</si>
  <si>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</si>
  <si>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</si>
  <si>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</si>
  <si>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</si>
  <si>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</si>
  <si>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</si>
  <si>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</si>
  <si>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</si>
  <si>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</si>
  <si>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</si>
  <si>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</si>
  <si>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</si>
  <si>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</si>
  <si>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</si>
  <si>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</si>
  <si>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</si>
  <si>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</si>
  <si>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</si>
  <si>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</si>
  <si>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</si>
  <si>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</si>
  <si>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</si>
  <si>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</si>
  <si>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</si>
  <si>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</si>
  <si>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</si>
  <si>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</si>
  <si>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</si>
  <si>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</si>
  <si>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</si>
  <si>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</si>
  <si>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</si>
  <si>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</si>
  <si>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</si>
  <si>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</si>
  <si>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</si>
  <si>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</si>
  <si>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</si>
  <si>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</si>
  <si>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</si>
  <si>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</si>
  <si>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</si>
  <si>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</si>
  <si>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</si>
  <si>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</si>
  <si>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</si>
  <si>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</si>
  <si>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</si>
  <si>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</si>
  <si>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</si>
  <si>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</si>
  <si>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</si>
  <si>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</si>
  <si>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</si>
  <si>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</si>
  <si>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</si>
  <si>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</si>
  <si>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</si>
  <si>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</si>
  <si>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</si>
  <si>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</si>
  <si>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</si>
  <si>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</si>
  <si>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</si>
  <si>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</si>
  <si>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</si>
  <si>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</si>
  <si>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</si>
  <si>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</si>
  <si>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</si>
  <si>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</si>
  <si>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</si>
  <si>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</si>
  <si>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</si>
  <si>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</si>
  <si>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</si>
  <si>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</si>
  <si>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</si>
  <si>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</si>
  <si>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</si>
  <si>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</si>
  <si>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</si>
  <si>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</si>
  <si>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</si>
  <si>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</si>
  <si>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</si>
  <si>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</si>
  <si>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</si>
  <si>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</si>
  <si>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</si>
  <si>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</si>
  <si>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</si>
  <si>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</si>
  <si>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</si>
  <si>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</si>
  <si>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</si>
  <si>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</si>
  <si>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</si>
  <si>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</si>
  <si>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</si>
  <si>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</si>
  <si>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</si>
  <si>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</si>
  <si>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</si>
  <si>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</si>
  <si>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</si>
  <si>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</si>
  <si>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</si>
  <si>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</si>
  <si>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</si>
  <si>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</si>
  <si>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</si>
  <si>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</si>
  <si>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</si>
  <si>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</si>
  <si>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</si>
  <si>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</si>
  <si>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</si>
  <si>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</si>
  <si>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</si>
  <si>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</si>
  <si>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</si>
  <si>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</si>
  <si>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</si>
  <si>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</si>
  <si>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</si>
  <si>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</si>
  <si>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</si>
  <si>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</si>
  <si>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</si>
  <si>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</si>
  <si>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</si>
  <si>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</si>
  <si>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</si>
  <si>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</si>
  <si>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</si>
  <si>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</si>
  <si>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</si>
  <si>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</si>
  <si>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</si>
  <si>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</si>
  <si>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</si>
  <si>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</si>
  <si>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</si>
  <si>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</si>
  <si>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</si>
  <si>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</si>
  <si>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</si>
  <si>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</si>
  <si>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</si>
  <si>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</si>
  <si>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</si>
  <si>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</si>
  <si>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</si>
  <si>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</si>
  <si>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</si>
  <si>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</si>
  <si>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</si>
  <si>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</si>
  <si>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</si>
  <si>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</si>
  <si>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</si>
  <si>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</si>
  <si>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</si>
  <si>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</si>
  <si>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</si>
  <si>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</si>
  <si>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</si>
  <si>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</si>
  <si>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</si>
  <si>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</si>
  <si>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</si>
  <si>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</si>
  <si>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</si>
  <si>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</si>
  <si>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</si>
  <si>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</si>
  <si>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</si>
  <si>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</si>
  <si>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</si>
  <si>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</si>
  <si>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</si>
  <si>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</si>
  <si>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</si>
  <si>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</si>
  <si>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</si>
  <si>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</si>
  <si>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</si>
  <si>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</si>
  <si>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</si>
  <si>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</si>
  <si>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</si>
  <si>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</si>
  <si>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</si>
  <si>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</si>
  <si>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</si>
  <si>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</si>
  <si>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</si>
  <si>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</si>
  <si>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</si>
  <si>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</si>
  <si>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</si>
  <si>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</si>
  <si>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</si>
  <si>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</si>
  <si>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</si>
  <si>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</si>
  <si>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</si>
  <si>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</si>
  <si>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</si>
  <si>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</si>
  <si>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</si>
  <si>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</si>
  <si>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</si>
  <si>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</si>
  <si>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</si>
  <si>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</si>
  <si>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</si>
  <si>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</si>
  <si>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</si>
  <si>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</si>
  <si>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</si>
  <si>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</si>
  <si>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</si>
  <si>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</si>
  <si>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</si>
  <si>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</si>
  <si>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</si>
  <si>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</si>
  <si>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</si>
  <si>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</si>
  <si>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</si>
  <si>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</si>
  <si>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</si>
  <si>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</si>
  <si>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</si>
  <si>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</si>
  <si>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</si>
  <si>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</si>
  <si>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</si>
  <si>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</si>
  <si>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</si>
  <si>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</si>
  <si>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</si>
  <si>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</si>
  <si>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</si>
  <si>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</si>
  <si>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</si>
  <si>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</si>
  <si>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</si>
  <si>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</si>
  <si>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</si>
  <si>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</si>
  <si>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</si>
  <si>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</si>
  <si>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</si>
  <si>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</si>
  <si>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</si>
  <si>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</si>
  <si>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</si>
  <si>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</si>
  <si>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</si>
  <si>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</si>
  <si>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</si>
  <si>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</si>
  <si>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</si>
  <si>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</si>
  <si>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</si>
  <si>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</si>
  <si>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</si>
  <si>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</si>
  <si>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</si>
  <si>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</si>
  <si>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</si>
  <si>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</si>
  <si>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</si>
  <si>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</si>
  <si>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</si>
  <si>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</si>
  <si>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</si>
  <si>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</si>
  <si>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</si>
  <si>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</si>
  <si>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</si>
  <si>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</si>
  <si>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</si>
  <si>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</si>
  <si>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</si>
  <si>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</si>
  <si>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</si>
  <si>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</si>
  <si>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</si>
  <si>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</si>
  <si>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</si>
  <si>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</si>
  <si>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</si>
  <si>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</si>
  <si>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</si>
  <si>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</si>
  <si>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</si>
  <si>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</si>
  <si>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</si>
  <si>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</si>
  <si>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</si>
  <si>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</si>
  <si>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</si>
  <si>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</si>
  <si>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</si>
  <si>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</si>
  <si>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</si>
  <si>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</si>
  <si>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</si>
  <si>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</si>
  <si>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</si>
  <si>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</si>
  <si>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</si>
  <si>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</si>
  <si>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</si>
  <si>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</si>
  <si>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</si>
  <si>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</si>
  <si>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</si>
  <si>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</si>
  <si>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</si>
  <si>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</si>
  <si>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</si>
  <si>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</si>
  <si>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</si>
  <si>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</si>
  <si>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</si>
  <si>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</si>
  <si>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</si>
  <si>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</si>
  <si>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</si>
  <si>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</si>
  <si>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</si>
  <si>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</si>
  <si>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</si>
  <si>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</si>
  <si>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</si>
  <si>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</si>
  <si>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</si>
  <si>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</si>
  <si>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</si>
  <si>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</si>
  <si>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</si>
  <si>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</si>
  <si>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</si>
  <si>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</si>
  <si>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</si>
  <si>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</si>
  <si>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</si>
  <si>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</si>
  <si>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</si>
  <si>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</si>
  <si>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</si>
  <si>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</si>
  <si>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</si>
  <si>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</si>
  <si>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</si>
  <si>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</si>
  <si>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</si>
  <si>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</si>
  <si>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</si>
  <si>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</si>
  <si>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</si>
  <si>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</si>
  <si>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</si>
  <si>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</si>
  <si>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</si>
  <si>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</si>
  <si>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</si>
  <si>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</si>
  <si>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</si>
  <si>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</si>
  <si>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</si>
  <si>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</si>
  <si>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</si>
  <si>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</si>
  <si>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</si>
  <si>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</si>
  <si>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</si>
  <si>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</si>
  <si>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</si>
  <si>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</si>
  <si>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</si>
  <si>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</si>
  <si>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</si>
  <si>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</si>
  <si>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</si>
  <si>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</si>
  <si>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</si>
  <si>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</si>
  <si>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</si>
  <si>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</si>
  <si>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</si>
  <si>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</si>
  <si>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</si>
  <si>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</si>
  <si>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</si>
  <si>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</si>
  <si>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</si>
  <si>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</si>
  <si>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</si>
  <si>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</si>
  <si>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</si>
  <si>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</si>
  <si>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</si>
  <si>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</si>
  <si>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</si>
  <si>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</si>
  <si>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</si>
  <si>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</si>
  <si>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</si>
  <si>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</si>
  <si>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</si>
  <si>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</si>
  <si>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</si>
  <si>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</si>
  <si>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</si>
  <si>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</si>
  <si>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</si>
  <si>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</si>
  <si>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</si>
  <si>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</si>
  <si>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</si>
  <si>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</si>
  <si>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</si>
  <si>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</si>
  <si>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</si>
  <si>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</si>
  <si>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</si>
  <si>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</si>
  <si>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</si>
  <si>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</si>
  <si>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</si>
  <si>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</si>
  <si>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</si>
  <si>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</si>
  <si>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</si>
  <si>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</si>
  <si>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</si>
  <si>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</si>
  <si>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</si>
  <si>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</si>
  <si>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</si>
  <si>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</si>
  <si>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</si>
  <si>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</si>
  <si>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</si>
  <si>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</si>
  <si>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</si>
  <si>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</si>
  <si>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</si>
  <si>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</si>
  <si>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</si>
  <si>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</si>
  <si>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</si>
  <si>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</si>
  <si>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</si>
  <si>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</si>
  <si>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</si>
  <si>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</si>
  <si>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</si>
  <si>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</si>
  <si>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</si>
  <si>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</si>
  <si>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</si>
  <si>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</si>
  <si>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</si>
  <si>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</si>
  <si>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</si>
  <si>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</si>
  <si>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</si>
  <si>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</si>
  <si>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</si>
  <si>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</si>
  <si>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</si>
  <si>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</si>
  <si>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</si>
  <si>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</si>
  <si>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</si>
  <si>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</si>
  <si>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</si>
  <si>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</si>
  <si>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</si>
  <si>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</si>
  <si>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</si>
  <si>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</si>
  <si>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</si>
  <si>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</si>
  <si>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</si>
  <si>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</si>
  <si>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</si>
  <si>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</si>
  <si>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</si>
  <si>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</si>
  <si>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</si>
  <si>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</si>
  <si>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</si>
  <si>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</si>
  <si>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</si>
  <si>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</si>
  <si>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</si>
  <si>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</si>
  <si>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</si>
  <si>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</si>
  <si>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</si>
  <si>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</si>
  <si>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</si>
  <si>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</si>
  <si>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</si>
  <si>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</si>
  <si>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</si>
  <si>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</si>
  <si>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</si>
  <si>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</si>
  <si>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</si>
  <si>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</si>
  <si>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</si>
  <si>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</si>
  <si>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</si>
  <si>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</si>
  <si>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</si>
  <si>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</si>
  <si>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</si>
  <si>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</si>
  <si>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</si>
  <si>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</si>
  <si>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</si>
  <si>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</si>
  <si>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</si>
  <si>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</si>
  <si>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</si>
  <si>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</si>
  <si>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</si>
  <si>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</si>
  <si>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</si>
  <si>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</si>
  <si>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</si>
  <si>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</si>
  <si>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</si>
  <si>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</si>
  <si>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</si>
  <si>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</si>
  <si>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</si>
  <si>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</si>
  <si>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</si>
  <si>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</si>
  <si>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</si>
  <si>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</si>
  <si>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</si>
  <si>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</si>
  <si>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</si>
  <si>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</si>
  <si>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</si>
  <si>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</si>
  <si>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</si>
  <si>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</si>
  <si>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</si>
  <si>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</si>
  <si>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</si>
  <si>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</si>
  <si>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</si>
  <si>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</si>
  <si>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</si>
  <si>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</si>
  <si>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</si>
  <si>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</si>
  <si>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</si>
  <si>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</si>
  <si>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</si>
  <si>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</si>
  <si>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</si>
  <si>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</si>
  <si>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</si>
  <si>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</si>
  <si>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</si>
  <si>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</si>
  <si>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</si>
  <si>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</si>
  <si>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</si>
  <si>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</si>
  <si>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</si>
  <si>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</si>
  <si>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</si>
  <si>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</si>
  <si>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</si>
  <si>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</si>
  <si>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</si>
  <si>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</si>
  <si>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</si>
  <si>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</si>
  <si>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</si>
  <si>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</si>
  <si>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</si>
  <si>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</si>
  <si>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</si>
  <si>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</si>
  <si>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</si>
  <si>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</si>
  <si>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</si>
  <si>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</si>
  <si>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</si>
  <si>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</si>
  <si>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</si>
  <si>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</si>
  <si>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</si>
  <si>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</si>
  <si>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</si>
  <si>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</si>
  <si>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</si>
  <si>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</si>
  <si>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</si>
  <si>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</si>
  <si>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</si>
  <si>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</si>
  <si>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</si>
  <si>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</si>
  <si>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</si>
  <si>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</si>
  <si>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</si>
  <si>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</si>
  <si>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</si>
  <si>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</si>
  <si>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</si>
  <si>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</si>
  <si>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</si>
  <si>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</si>
  <si>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</si>
  <si>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</si>
  <si>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</si>
  <si>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</si>
  <si>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</si>
  <si>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</si>
  <si>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</si>
  <si>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</si>
  <si>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</si>
  <si>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</si>
  <si>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</si>
  <si>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</si>
  <si>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</si>
  <si>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</si>
  <si>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</si>
  <si>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</si>
  <si>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</si>
  <si>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</si>
  <si>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</si>
  <si>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</si>
  <si>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</si>
  <si>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</si>
  <si>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</si>
  <si>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</si>
  <si>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</si>
  <si>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</si>
  <si>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</si>
  <si>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</si>
  <si>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</si>
  <si>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</si>
  <si>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</si>
  <si>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</si>
  <si>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</si>
  <si>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</si>
  <si>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</si>
  <si>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</si>
  <si>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</si>
  <si>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</si>
  <si>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</si>
  <si>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</si>
  <si>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</si>
  <si>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</si>
  <si>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</si>
  <si>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</si>
  <si>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</si>
  <si>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</si>
  <si>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</si>
  <si>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</si>
  <si>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</si>
  <si>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</si>
  <si>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</si>
  <si>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</si>
  <si>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</si>
  <si>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</si>
  <si>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</si>
  <si>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</si>
  <si>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</si>
  <si>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</si>
  <si>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</si>
  <si>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</si>
  <si>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</si>
  <si>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</si>
  <si>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</si>
  <si>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</si>
  <si>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</si>
  <si>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</si>
  <si>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</si>
  <si>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</si>
  <si>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</si>
  <si>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</si>
  <si>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</si>
  <si>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</si>
  <si>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</si>
  <si>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</si>
  <si>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</si>
  <si>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</si>
  <si>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</si>
  <si>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</si>
  <si>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</si>
  <si>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</si>
  <si>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</si>
  <si>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</si>
  <si>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</si>
  <si>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</si>
  <si>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</si>
  <si>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</si>
  <si>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</si>
  <si>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</si>
  <si>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</si>
  <si>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</si>
  <si>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</si>
  <si>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</si>
  <si>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</si>
  <si>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</si>
  <si>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</si>
  <si>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</si>
  <si>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</si>
  <si>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</si>
  <si>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</si>
  <si>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</si>
  <si>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</si>
  <si>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</si>
  <si>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</si>
  <si>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</si>
  <si>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</si>
  <si>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</si>
  <si>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</si>
  <si>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</si>
  <si>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</si>
  <si>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</si>
  <si>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</si>
  <si>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</si>
  <si>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</si>
  <si>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</si>
  <si>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</si>
  <si>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</si>
  <si>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</si>
  <si>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</si>
  <si>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</si>
  <si>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</si>
  <si>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</si>
  <si>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</si>
  <si>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</si>
  <si>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</si>
  <si>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</si>
  <si>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</si>
  <si>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</si>
  <si>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</si>
  <si>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</si>
  <si>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</si>
  <si>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</si>
  <si>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</si>
  <si>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</si>
  <si>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</si>
  <si>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</si>
  <si>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</si>
  <si>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</si>
  <si>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</si>
  <si>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</si>
  <si>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</si>
  <si>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</si>
  <si>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</si>
  <si>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</si>
  <si>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</si>
  <si>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</si>
  <si>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</si>
  <si>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</si>
  <si>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</si>
  <si>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</si>
  <si>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</si>
  <si>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</si>
  <si>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</si>
  <si>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</si>
  <si>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</si>
  <si>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</si>
  <si>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</si>
  <si>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</si>
  <si>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</si>
  <si>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</si>
  <si>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</si>
  <si>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</si>
  <si>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</si>
  <si>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</si>
  <si>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</si>
  <si>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</si>
  <si>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</si>
  <si>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</si>
  <si>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</si>
  <si>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</si>
  <si>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</si>
  <si>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</si>
  <si>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</si>
  <si>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</si>
  <si>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</si>
  <si>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</si>
  <si>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</si>
  <si>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</si>
  <si>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</si>
  <si>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</si>
  <si>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</si>
  <si>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</si>
  <si>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</si>
  <si>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</si>
  <si>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</si>
  <si>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</si>
  <si>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</si>
  <si>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</si>
  <si>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</si>
  <si>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</si>
  <si>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</si>
  <si>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</si>
  <si>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</si>
  <si>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</si>
  <si>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</si>
  <si>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</si>
  <si>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</si>
  <si>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</si>
  <si>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</si>
  <si>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</si>
  <si>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</si>
  <si>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</si>
  <si>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</si>
  <si>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</si>
  <si>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</si>
  <si>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</si>
  <si>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</si>
  <si>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</si>
  <si>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</si>
  <si>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</si>
  <si>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</si>
  <si>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</si>
  <si>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</si>
  <si>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</si>
  <si>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</si>
  <si>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</si>
  <si>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</si>
  <si>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</si>
  <si>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</si>
  <si>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</si>
  <si>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</si>
  <si>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</si>
  <si>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</si>
  <si>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</si>
  <si>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</si>
  <si>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</si>
  <si>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</si>
  <si>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</si>
  <si>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</si>
  <si>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</si>
  <si>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</si>
  <si>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</si>
  <si>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</si>
  <si>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</si>
  <si>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</si>
  <si>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</si>
  <si>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</si>
  <si>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</si>
  <si>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</si>
  <si>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</si>
  <si>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</si>
  <si>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</si>
  <si>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</si>
  <si>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</si>
  <si>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</si>
  <si>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</si>
  <si>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</si>
  <si>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</si>
  <si>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</si>
  <si>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</si>
  <si>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</si>
  <si>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</si>
  <si>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</si>
  <si>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</si>
  <si>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</si>
  <si>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</si>
  <si>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</si>
  <si>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</si>
  <si>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</si>
  <si>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</si>
  <si>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</si>
  <si>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</si>
  <si>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</si>
  <si>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</si>
  <si>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</si>
  <si>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</si>
  <si>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</si>
  <si>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</si>
  <si>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</si>
  <si>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</si>
  <si>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</si>
  <si>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</si>
  <si>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</si>
  <si>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</si>
  <si>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</si>
  <si>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</si>
  <si>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</si>
  <si>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</si>
  <si>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</si>
  <si>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</si>
  <si>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</si>
  <si>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</si>
  <si>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</si>
  <si>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</si>
  <si>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</si>
  <si>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</si>
  <si>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</si>
  <si>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</si>
  <si>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</si>
  <si>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</si>
  <si>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</si>
  <si>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</si>
  <si>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</si>
  <si>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</si>
  <si>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</si>
  <si>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</si>
  <si>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</si>
  <si>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</si>
  <si>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</si>
  <si>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</si>
  <si>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</si>
  <si>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</si>
  <si>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</si>
  <si>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</si>
  <si>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</si>
  <si>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</si>
  <si>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</si>
  <si>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</si>
  <si>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</si>
  <si>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</si>
  <si>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</si>
  <si>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</si>
  <si>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</si>
  <si>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</si>
  <si>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</si>
  <si>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</si>
  <si>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</si>
  <si>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</si>
  <si>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</si>
  <si>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</si>
  <si>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</si>
  <si>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</si>
  <si>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</si>
  <si>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</si>
  <si>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</si>
  <si>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</si>
  <si>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</si>
  <si>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</si>
  <si>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</si>
  <si>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</si>
  <si>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</si>
  <si>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</si>
  <si>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</si>
  <si>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</si>
  <si>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</si>
  <si>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</si>
  <si>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</si>
  <si>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</si>
  <si>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</si>
  <si>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</si>
  <si>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</si>
  <si>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</si>
  <si>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</si>
  <si>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</si>
  <si>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</si>
  <si>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</si>
  <si>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</si>
  <si>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</si>
  <si>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</si>
  <si>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</si>
  <si>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</si>
  <si>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</si>
  <si>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</si>
  <si>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</si>
  <si>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</si>
  <si>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</si>
  <si>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</si>
  <si>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</si>
  <si>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</si>
  <si>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</si>
  <si>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</si>
  <si>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</si>
  <si>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</si>
  <si>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</si>
  <si>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</si>
  <si>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</si>
  <si>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</si>
  <si>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</si>
  <si>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</si>
  <si>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</si>
  <si>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</si>
  <si>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</si>
  <si>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</si>
  <si>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</si>
  <si>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</si>
  <si>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</si>
  <si>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</si>
  <si>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</si>
  <si>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</si>
  <si>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</si>
  <si>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</si>
  <si>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</si>
  <si>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</si>
  <si>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</si>
  <si>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</si>
  <si>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</si>
  <si>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</si>
  <si>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</si>
  <si>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</si>
  <si>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</si>
  <si>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</si>
  <si>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</si>
  <si>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</si>
  <si>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</si>
  <si>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</si>
  <si>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</si>
  <si>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</si>
  <si>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</si>
  <si>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</si>
  <si>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</si>
  <si>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</si>
  <si>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</si>
  <si>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</si>
  <si>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</si>
  <si>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</si>
  <si>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</si>
  <si>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</si>
  <si>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</si>
  <si>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</si>
  <si>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</si>
  <si>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</si>
  <si>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</si>
  <si>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</si>
  <si>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</si>
  <si>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</si>
  <si>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</si>
  <si>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</si>
  <si>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</si>
  <si>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</si>
  <si>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</si>
  <si>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</si>
  <si>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</si>
  <si>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</si>
  <si>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</si>
  <si>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</si>
  <si>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</si>
  <si>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</si>
  <si>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</si>
  <si>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</si>
  <si>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</si>
  <si>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</si>
  <si>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</si>
  <si>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</si>
  <si>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</si>
  <si>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</si>
  <si>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</si>
  <si>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</si>
  <si>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</si>
  <si>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</si>
  <si>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</si>
  <si>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</si>
  <si>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</si>
  <si>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</si>
  <si>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</si>
  <si>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</si>
  <si>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</si>
  <si>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</si>
  <si>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</si>
  <si>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</si>
  <si>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</si>
  <si>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</si>
  <si>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</si>
  <si>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</si>
  <si>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</si>
  <si>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</si>
  <si>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</si>
  <si>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</si>
  <si>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</si>
  <si>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</si>
  <si>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</si>
  <si>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</si>
  <si>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</si>
  <si>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</si>
  <si>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</si>
  <si>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</si>
  <si>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</si>
  <si>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</si>
  <si>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</si>
  <si>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</si>
  <si>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</si>
  <si>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</si>
  <si>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</si>
  <si>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</si>
  <si>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</si>
  <si>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</si>
  <si>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</si>
  <si>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</si>
  <si>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</si>
  <si>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</si>
  <si>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</si>
  <si>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</si>
  <si>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</si>
  <si>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</si>
  <si>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</si>
  <si>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</si>
  <si>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</si>
  <si>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</si>
  <si>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</si>
  <si>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</si>
  <si>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</si>
  <si>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</si>
  <si>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</si>
  <si>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</si>
  <si>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</si>
  <si>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</si>
  <si>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</si>
  <si>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</si>
  <si>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</si>
  <si>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</si>
  <si>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</si>
  <si>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</si>
  <si>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</si>
  <si>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</si>
  <si>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</si>
  <si>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</si>
  <si>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</si>
  <si>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</si>
  <si>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</si>
  <si>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</si>
  <si>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</si>
  <si>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</si>
  <si>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</si>
  <si>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</si>
  <si>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</si>
  <si>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</si>
  <si>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</si>
  <si>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</si>
  <si>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</si>
  <si>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</si>
  <si>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</si>
  <si>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</si>
  <si>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</si>
  <si>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</si>
  <si>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</si>
  <si>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</si>
  <si>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</si>
  <si>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</si>
  <si>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</si>
  <si>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</si>
  <si>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</si>
  <si>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</si>
  <si>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</si>
  <si>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</si>
  <si>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</si>
  <si>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</si>
  <si>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</si>
  <si>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</si>
  <si>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</si>
  <si>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</si>
  <si>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</si>
  <si>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</si>
  <si>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</si>
  <si>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</si>
  <si>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</si>
  <si>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</si>
  <si>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</si>
  <si>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</si>
  <si>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</si>
  <si>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</si>
  <si>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</si>
  <si>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</si>
  <si>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</si>
  <si>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</si>
  <si>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</si>
  <si>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</si>
  <si>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</si>
  <si>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</si>
  <si>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</si>
  <si>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</si>
  <si>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</si>
  <si>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</si>
  <si>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</si>
  <si>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</si>
  <si>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</si>
  <si>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</si>
  <si>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</si>
  <si>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</si>
  <si>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</si>
  <si>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</si>
  <si>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</si>
  <si>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</si>
  <si>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</si>
  <si>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</si>
  <si>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</si>
  <si>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</si>
  <si>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</si>
  <si>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</si>
  <si>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</si>
  <si>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</si>
  <si>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</si>
  <si>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</si>
  <si>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</si>
  <si>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</si>
  <si>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</si>
  <si>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</si>
  <si>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</si>
  <si>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</si>
  <si>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</si>
  <si>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</si>
  <si>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</si>
  <si>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</si>
  <si>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</si>
  <si>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</si>
  <si>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</si>
  <si>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</si>
  <si>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</si>
  <si>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</si>
  <si>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</si>
  <si>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</si>
  <si>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</si>
  <si>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</si>
  <si>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</si>
  <si>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</si>
  <si>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</si>
  <si>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</si>
  <si>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</si>
  <si>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</si>
  <si>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</si>
  <si>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</si>
  <si>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</si>
  <si>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</si>
  <si>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</si>
  <si>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</si>
  <si>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</si>
  <si>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</si>
  <si>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</si>
  <si>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</si>
  <si>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</si>
  <si>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</si>
  <si>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</si>
  <si>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</si>
  <si>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</si>
  <si>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</si>
  <si>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</si>
  <si>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</si>
  <si>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</si>
  <si>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</si>
  <si>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</si>
  <si>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</si>
  <si>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</si>
  <si>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</si>
  <si>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</si>
  <si>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</si>
  <si>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</si>
  <si>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</si>
  <si>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</si>
  <si>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</si>
  <si>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</si>
  <si>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</si>
  <si>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</si>
  <si>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</si>
  <si>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</si>
  <si>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</si>
  <si>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</si>
  <si>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</si>
  <si>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</si>
  <si>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</si>
  <si>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</si>
  <si>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</si>
  <si>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</si>
  <si>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</si>
  <si>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</si>
  <si>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</si>
  <si>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</si>
  <si>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</si>
  <si>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</si>
  <si>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</si>
  <si>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</si>
  <si>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</si>
  <si>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</si>
  <si>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</si>
  <si>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</si>
  <si>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</si>
  <si>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</si>
  <si>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</si>
  <si>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</si>
  <si>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</si>
  <si>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</si>
  <si>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</si>
  <si>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</si>
  <si>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</si>
  <si>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</si>
  <si>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</si>
  <si>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</si>
  <si>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</si>
  <si>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</si>
  <si>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</si>
  <si>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</si>
  <si>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</si>
  <si>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</si>
  <si>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</si>
  <si>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</si>
  <si>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</si>
  <si>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</si>
  <si>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</si>
  <si>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</si>
  <si>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</si>
  <si>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</si>
  <si>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</si>
  <si>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</si>
  <si>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</si>
  <si>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</si>
  <si>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</si>
  <si>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</si>
  <si>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</si>
  <si>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</si>
  <si>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</si>
  <si>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</si>
  <si>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</si>
  <si>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</si>
  <si>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</si>
  <si>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</si>
  <si>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</si>
  <si>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</si>
  <si>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</si>
  <si>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</si>
  <si>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</si>
  <si>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</si>
  <si>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</si>
  <si>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</si>
  <si>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</si>
  <si>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</si>
  <si>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</si>
  <si>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</si>
  <si>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</si>
  <si>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</si>
  <si>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</si>
  <si>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</si>
  <si>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</si>
  <si>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</si>
  <si>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</si>
  <si>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</si>
  <si>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</si>
  <si>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</si>
  <si>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</si>
  <si>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</si>
  <si>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</si>
  <si>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</si>
  <si>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</si>
  <si>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</si>
  <si>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</si>
  <si>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</si>
  <si>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</si>
  <si>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</si>
  <si>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</si>
  <si>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</si>
  <si>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</si>
  <si>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</si>
  <si>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</si>
  <si>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</si>
  <si>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</si>
  <si>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</si>
  <si>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</si>
  <si>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</si>
  <si>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</si>
  <si>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</si>
  <si>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</si>
  <si>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</si>
  <si>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</si>
  <si>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</si>
  <si>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</si>
  <si>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</si>
  <si>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</si>
  <si>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</si>
  <si>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</si>
  <si>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</si>
  <si>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</si>
  <si>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</si>
  <si>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</si>
  <si>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</si>
  <si>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</si>
  <si>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</si>
  <si>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</si>
  <si>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</si>
  <si>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</si>
  <si>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</si>
  <si>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</si>
  <si>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</si>
  <si>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</si>
  <si>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</si>
  <si>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</si>
  <si>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</si>
  <si>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</si>
  <si>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</si>
  <si>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</si>
  <si>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</si>
  <si>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</si>
  <si>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</si>
  <si>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</si>
  <si>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</si>
  <si>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</si>
  <si>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</si>
  <si>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</si>
  <si>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</si>
  <si>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</si>
  <si>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</si>
  <si>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</si>
  <si>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</si>
  <si>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</si>
  <si>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</si>
  <si>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</si>
  <si>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</si>
  <si>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</si>
  <si>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</si>
  <si>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</si>
  <si>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</si>
  <si>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</si>
  <si>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</si>
  <si>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</si>
  <si>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</si>
  <si>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</si>
  <si>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</si>
  <si>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</si>
  <si>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</si>
  <si>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</si>
  <si>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</si>
  <si>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</si>
  <si>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</si>
  <si>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</si>
  <si>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</si>
  <si>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</si>
  <si>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</si>
  <si>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</si>
  <si>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</si>
  <si>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</si>
  <si>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</si>
  <si>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</si>
  <si>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</si>
  <si>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</si>
  <si>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</si>
  <si>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</si>
  <si>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</si>
  <si>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</si>
  <si>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</si>
  <si>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</si>
  <si>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</si>
  <si>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</si>
  <si>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</si>
  <si>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</si>
  <si>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</si>
  <si>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</si>
  <si>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</si>
  <si>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</si>
  <si>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</si>
  <si>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</si>
  <si>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</si>
  <si>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</si>
  <si>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</si>
  <si>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</si>
  <si>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</si>
  <si>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</si>
  <si>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</si>
  <si>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</si>
  <si>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</si>
  <si>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</si>
  <si>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</si>
  <si>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</si>
  <si>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</si>
  <si>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</si>
  <si>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</si>
  <si>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</si>
  <si>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</si>
  <si>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</si>
  <si>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</si>
  <si>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</si>
  <si>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</si>
  <si>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</si>
  <si>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</si>
  <si>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</si>
  <si>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</si>
  <si>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</si>
  <si>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</si>
  <si>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</si>
  <si>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</si>
  <si>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</si>
  <si>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</si>
  <si>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</si>
  <si>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</si>
  <si>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</si>
  <si>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</si>
  <si>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</si>
  <si>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</si>
  <si>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</si>
  <si>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</si>
  <si>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</si>
  <si>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</si>
  <si>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</si>
  <si>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</si>
  <si>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</si>
  <si>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</si>
  <si>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</si>
  <si>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</si>
  <si>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</si>
  <si>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</si>
  <si>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</si>
  <si>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</si>
  <si>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</si>
  <si>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</si>
  <si>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</si>
  <si>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</si>
  <si>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</si>
  <si>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</si>
  <si>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</si>
  <si>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</si>
  <si>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</si>
  <si>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</si>
  <si>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</si>
  <si>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</si>
  <si>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</si>
  <si>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</si>
  <si>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</si>
  <si>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</si>
  <si>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</si>
  <si>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</si>
  <si>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</si>
  <si>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</si>
  <si>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</si>
  <si>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</si>
  <si>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</si>
  <si>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</si>
  <si>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</si>
  <si>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</si>
  <si>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</si>
  <si>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</si>
  <si>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</si>
  <si>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</si>
  <si>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</si>
  <si>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</si>
  <si>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</si>
  <si>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</si>
  <si>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</si>
  <si>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</si>
  <si>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</si>
  <si>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</si>
  <si>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</si>
  <si>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</si>
  <si>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</si>
  <si>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</si>
  <si>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</si>
  <si>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</si>
  <si>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</si>
  <si>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</si>
  <si>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</si>
  <si>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</si>
  <si>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</si>
  <si>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</si>
  <si>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</si>
  <si>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</si>
  <si>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</si>
  <si>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</si>
  <si>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</si>
  <si>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</si>
  <si>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</si>
  <si>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</si>
  <si>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</si>
  <si>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</si>
  <si>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</si>
  <si>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</si>
  <si>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</si>
  <si>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</si>
  <si>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</si>
  <si>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</si>
  <si>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</si>
  <si>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</si>
  <si>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</si>
  <si>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</si>
  <si>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</si>
  <si>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</si>
  <si>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</si>
  <si>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</si>
  <si>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</si>
  <si>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</si>
  <si>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</si>
  <si>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</si>
  <si>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</si>
  <si>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</si>
  <si>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</si>
  <si>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</si>
  <si>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</si>
  <si>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</si>
  <si>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</si>
  <si>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</si>
  <si>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</si>
  <si>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</si>
  <si>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</si>
  <si>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</si>
  <si>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</si>
  <si>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</si>
  <si>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</si>
  <si>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</si>
  <si>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[Record]</t>
  </si>
  <si>
    <t>ABONO INTERESES AHORROS</t>
  </si>
  <si>
    <t>TRANSFERENCIA CTA SUC VIRTUAL</t>
  </si>
  <si>
    <t>CUOTA MANEJO TARJETA DEBITO</t>
  </si>
  <si>
    <t>RETIRO CAJERO MALAGA</t>
  </si>
  <si>
    <t>COMISION RETIRO CAJERO</t>
  </si>
  <si>
    <t>AJUSTE INTERES AHORROS DB</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</si>
  <si>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</si>
  <si>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</si>
  <si>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</si>
  <si>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</si>
  <si>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</si>
  <si>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</si>
  <si>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</si>
  <si>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</si>
  <si>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</si>
  <si>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</si>
  <si>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</si>
  <si>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</si>
  <si>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</si>
  <si>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</si>
  <si>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</si>
  <si>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</si>
  <si>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</si>
  <si>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</si>
  <si>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</si>
  <si>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</si>
  <si>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</si>
  <si>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</si>
  <si>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</si>
  <si>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</si>
  <si>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</si>
  <si>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</si>
  <si>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</si>
  <si>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</si>
  <si>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</si>
  <si>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</si>
  <si>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</si>
  <si>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</si>
  <si>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</si>
  <si>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</si>
  <si>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</si>
  <si>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</si>
  <si>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</si>
  <si>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</si>
  <si>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</si>
  <si>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</si>
  <si>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</si>
  <si>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</si>
  <si>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</si>
  <si>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</si>
  <si>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</si>
  <si>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</si>
  <si>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</si>
  <si>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</si>
  <si>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</si>
  <si>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</si>
  <si>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</si>
  <si>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</si>
  <si>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</si>
  <si>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</si>
  <si>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</si>
  <si>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</si>
  <si>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</si>
  <si>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</si>
  <si>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</si>
  <si>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</si>
  <si>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Transferencia Qr</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</si>
  <si>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</si>
  <si>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</si>
  <si>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</si>
  <si>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</si>
  <si>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</si>
  <si>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</si>
  <si>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</si>
  <si>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</si>
  <si>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</si>
  <si>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</si>
  <si>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</si>
  <si>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</si>
  <si>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</si>
  <si>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</si>
  <si>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</si>
  <si>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</si>
  <si>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</si>
  <si>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</si>
  <si>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</si>
  <si>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</si>
  <si>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</si>
  <si>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</si>
  <si>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</si>
  <si>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</si>
  <si>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</si>
  <si>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</si>
  <si>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</si>
  <si>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</si>
  <si>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</si>
  <si>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</si>
  <si>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</si>
  <si>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</si>
  <si>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</si>
  <si>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</si>
  <si>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</si>
  <si>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</si>
  <si>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</si>
  <si>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</si>
  <si>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</si>
  <si>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</si>
  <si>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</si>
  <si>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</si>
  <si>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</si>
  <si>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</si>
  <si>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</si>
  <si>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</si>
  <si>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</si>
  <si>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</si>
  <si>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</si>
  <si>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</si>
  <si>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</si>
  <si>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</si>
  <si>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</si>
  <si>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</si>
  <si>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</si>
  <si>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</si>
  <si>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</si>
  <si>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</si>
  <si>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</si>
  <si>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</si>
  <si>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</si>
  <si>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</si>
  <si>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</si>
  <si>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</si>
  <si>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</si>
  <si>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</si>
  <si>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</si>
  <si>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</si>
  <si>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</si>
  <si>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</si>
  <si>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</si>
  <si>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</si>
  <si>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</si>
  <si>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</si>
  <si>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</si>
  <si>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</si>
  <si>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ggggggg</t>
  </si>
  <si>
    <t>tttttttt</t>
  </si>
  <si>
    <t>dddddddd</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</si>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</sst>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9"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6">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7" fontId="0" fillId="0"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0" fontId="3" fillId="5" borderId="4" xfId="0" applyFont="1" applyFill="1" applyBorder="1" applyAlignment="1">
      <alignment horizontal="center"/>
    </xf>
    <xf numFmtId="0" fontId="4"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Alignment="1">
      <alignment horizontal="center"/>
    </xf>
    <xf numFmtId="0" fontId="4" fillId="4" borderId="0" xfId="0" applyFont="1" applyFill="1" applyAlignment="1">
      <alignment horizontal="center"/>
    </xf>
    <xf numFmtId="44" fontId="4" fillId="0" borderId="4" xfId="0" applyNumberFormat="1" applyFont="1" applyBorder="1" applyAlignment="1">
      <alignment horizontal="center"/>
    </xf>
    <xf numFmtId="0" fontId="4" fillId="0" borderId="4"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3" fillId="7" borderId="4" xfId="0" applyFont="1" applyFill="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44" fontId="0"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62">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TablasDesdeDetalle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5" xr16:uid="{917761A6-69A0-477A-B595-EE53BF0B621B}" autoFormatId="16" applyNumberFormats="0" applyBorderFormats="0" applyFontFormats="0" applyPatternFormats="0" applyAlignmentFormats="0" applyWidthHeightFormats="0">
  <queryTableRefresh nextId="8">
    <queryTableFields count="5">
      <queryTableField id="1" name="Fecha" tableColumnId="1"/>
      <queryTableField id="6" name="Descripcion" tableColumnId="6"/>
      <queryTableField id="3" name="Documento" tableColumnId="3"/>
      <queryTableField id="4" name="Valor" tableColumnId="4"/>
      <queryTableField id="5" name="Saldo" tableColumnId="5"/>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1">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0" totalsRowDxfId="259"/>
    <tableColumn id="4" xr3:uid="{A8C3DCB1-A1AA-4F29-AB1E-0A2E682C3530}" name="Cantidad" totalsRowFunction="sum" dataDxfId="258" totalsRowDxfId="257"/>
    <tableColumn id="5" xr3:uid="{614B29C1-F3BF-4DF9-904D-94721E98CBEC}" name="Dcto." totalsRowFunction="sum" dataDxfId="256" totalsRowDxfId="255"/>
    <tableColumn id="6" xr3:uid="{5F152225-0439-4330-A9A1-E874E7F9AFC3}" name="IVA %" totalsRowFunction="sum" dataDxfId="254" totalsRowDxfId="253"/>
    <tableColumn id="7" xr3:uid="{3B53B34F-4EAA-4944-9CED-32BC39517FAB}" name="Valor total" totalsRowFunction="sum" dataDxfId="252" totalsRowDxfId="251"/>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0" totalsRowDxfId="249"/>
    <tableColumn id="4" xr3:uid="{334E5B37-F36E-4327-A1A1-871F7172D729}" name="Cantidad" totalsRowFunction="sum" dataDxfId="248" totalsRowDxfId="247"/>
    <tableColumn id="5" xr3:uid="{C8E09F96-E344-4397-A22C-842F27212EB7}" name="% Ganancia"/>
    <tableColumn id="6" xr3:uid="{4785F2DB-38BC-4DAD-B87E-948CB98343E5}" name="Valor total" totalsRowFunction="sum" dataDxfId="246" totalsRowDxfId="245">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44"/>
    <tableColumn id="4" xr3:uid="{566487BE-7A8F-479C-BC98-6CE36583601D}" name="Debe" totalsRowFunction="sum" dataDxfId="243" totalsRowDxfId="242"/>
    <tableColumn id="5" xr3:uid="{0FDDDE24-7D3E-40D9-A7CF-C1ABAD690151}" name="Haber" totalsRowFunction="sum" dataDxfId="241" totalsRowDxfId="2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39" totalsRowDxfId="238"/>
    <tableColumn id="7" xr3:uid="{876CB599-EEB3-45DF-9CFA-4DB44A3B52AC}" name="IVA" totalsRowFunction="sum" dataDxfId="237" totalsRowDxfId="236"/>
    <tableColumn id="8" xr3:uid="{42FB424A-7513-4114-876B-F0B2EDBF4CD2}" name="Valor con IVA" totalsRowFunction="sum" dataDxfId="235" totalsRowDxfId="2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3" totalsRowDxfId="232"/>
    <tableColumn id="3" xr3:uid="{71B39168-8F5B-47CF-9237-6F6FC655C0B9}" name="Valor" totalsRowFunction="sum" dataDxfId="231" totalsRowDxfId="2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29" totalsRowDxfId="228"/>
    <tableColumn id="3" xr3:uid="{0461D468-C8E3-4599-951F-F7946A646CCE}" name="Valor" totalsRowFunction="sum" dataDxfId="227" totalsRowDxfId="22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6" totalsRowCount="1">
  <autoFilter ref="B8:F35"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25" totalsRowDxfId="224"/>
    <tableColumn id="4" xr3:uid="{B45669F8-9524-44A4-A62E-8950B2BA2222}" name="Debe" totalsRowFunction="sum" dataDxfId="223" totalsRowDxfId="222"/>
    <tableColumn id="5" xr3:uid="{D708AA91-103B-44B4-8E9C-257B6509A4BC}" name="Haber" totalsRowFunction="sum" dataDxfId="221" totalsRowDxfId="2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19"/>
    <tableColumn id="5" xr3:uid="{9429A308-5036-4C32-9507-C5B26AB665B6}" name="Debe" totalsRowFunction="sum" dataDxfId="218" totalsRowDxfId="217"/>
    <tableColumn id="6" xr3:uid="{055351D5-5F7F-4D1E-998C-342FCF670354}" name="Haber" totalsRowFunction="sum" dataDxfId="216" totalsRowDxfId="2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14" dataDxfId="213" totalsRowDxfId="212">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11" totalsRowDxfId="210"/>
    <tableColumn id="2" xr3:uid="{D3FF3515-9047-4BBB-869A-D2E11918C23B}" name="Detalle" dataDxfId="209" totalsRowDxfId="208"/>
    <tableColumn id="3" xr3:uid="{8759BD7C-9D88-4606-89D6-DD4F7BB40422}" name="Documento" dataDxfId="207" totalsRowDxfId="206"/>
    <tableColumn id="4" xr3:uid="{C36E1D5A-C1C0-4543-B5D9-9FBB3E24D5F2}" name="Debe" totalsRowFunction="sum" dataDxfId="205" totalsRowDxfId="204"/>
    <tableColumn id="5" xr3:uid="{27E80D36-9F48-4468-8839-F41EFD7A554F}" name="Haber" totalsRowFunction="sum" dataDxfId="203" totalsRowDxfId="202"/>
    <tableColumn id="6" xr3:uid="{0791213B-FED9-40D3-9C22-17D8FA6639DE}" name="Saldo" totalsRowFunction="custom" dataDxfId="201" totalsRowDxfId="200">
      <totalsRowFormula array="1">INDEX(tbl_libro_auxiliar_bancos[Saldo], COUNT(tbl_libro_auxiliar_bancos[Saldo]))</totalsRow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663315-E626-415E-81D4-8D39DA489E4E}" name="tbl_extracto_2" displayName="tbl_extracto_2" ref="A1:E13" tableType="queryTable" totalsRowShown="0">
  <autoFilter ref="A1:E13" xr:uid="{C4663315-E626-415E-81D4-8D39DA489E4E}"/>
  <tableColumns count="5">
    <tableColumn id="1" xr3:uid="{B0D979B3-4ABF-49C8-A9CF-3DDBE774E049}" uniqueName="1" name="Fecha" queryTableFieldId="1" dataDxfId="199"/>
    <tableColumn id="6" xr3:uid="{8D9F4252-7F24-4AAC-9E36-848333FF8BCE}" uniqueName="6" name="Descripcion" queryTableFieldId="6" dataDxfId="198"/>
    <tableColumn id="3" xr3:uid="{370C339B-C625-4723-B3FD-841CC81B778B}" uniqueName="3" name="Documento" queryTableFieldId="3"/>
    <tableColumn id="4" xr3:uid="{559CB094-5C88-448A-B09C-7919B300BC01}" uniqueName="4" name="Valor" queryTableFieldId="4"/>
    <tableColumn id="5" xr3:uid="{1E2D3278-0CA0-4477-8EF1-D1571FF55CC9}" uniqueName="5" name="Saldo"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197" dataDxfId="196" totalsRowDxfId="195">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4" totalsRowDxfId="193"/>
    <tableColumn id="2" xr3:uid="{054A8930-BAEE-4B5B-B56A-CBCAB37B55C1}" name="Detalle" dataDxfId="192" totalsRowDxfId="191"/>
    <tableColumn id="3" xr3:uid="{83D7B0F5-FE48-412F-AE9E-7CD9CF616640}" name="Documento" dataDxfId="190" totalsRowDxfId="189"/>
    <tableColumn id="4" xr3:uid="{D7CD5589-8EA4-4582-A2F6-06E76B66BAD3}" name="Valor" totalsRowFunction="sum" dataDxfId="188" totalsRowDxfId="187"/>
    <tableColumn id="5" xr3:uid="{6ADA082B-577A-46D0-A3F5-EB19E21A3E9A}" name="Saldo" totalsRowFunction="custom" dataDxfId="186" totalsRowDxfId="185">
      <totalsRowFormula array="1">INDEX(tbl_extracto[Saldo], COUNT(tbl_extracto[Saldo]))</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84" totalsRowDxfId="18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82" totalsRowDxfId="18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80" totalsRowDxfId="27"/>
    <tableColumn id="2" xr3:uid="{6AEFDE4D-5858-499D-B665-A6E55CDD0F7F}" name="Documento" dataDxfId="179" totalsRowDxfId="26"/>
    <tableColumn id="3" xr3:uid="{9CC3CC01-E374-4785-8298-2387AFF901DF}" name="Valor" totalsRowFunction="sum" dataDxfId="178" totalsRowDxfId="2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77">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76" totalsRowDxfId="24"/>
    <tableColumn id="2" xr3:uid="{3102E91D-43C6-4667-B150-97CFEC2BA120}" name="Documento" dataDxfId="175" totalsRowDxfId="23"/>
    <tableColumn id="3" xr3:uid="{0ADBE507-66D1-4C96-B31A-ADBECDED9694}" name="Valor" totalsRowFunction="sum" dataDxfId="174" totalsRowDxfId="2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73">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72" totalsRowDxfId="21"/>
    <tableColumn id="2" xr3:uid="{0A648ABE-BC4C-4B1E-ADFC-12B28549B905}" name="Documento" dataDxfId="171" totalsRowDxfId="20"/>
    <tableColumn id="3" xr3:uid="{CA039FE4-2EF5-4F40-90C3-B80CADA98B83}" name="Valor" totalsRowFunction="sum" dataDxfId="170" totalsRowDxfId="1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9">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68" totalsRowDxfId="18"/>
    <tableColumn id="2" xr3:uid="{D1C80000-E34C-48FA-BDAE-3D7C10910D33}" name="Documento" dataDxfId="167" totalsRowDxfId="17"/>
    <tableColumn id="3" xr3:uid="{BA986B08-9E76-45FD-B093-F9255E76D4C4}" name="Valor" totalsRowFunction="sum" dataDxfId="166" totalsRowDxfId="1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65">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64" totalsRowDxfId="15"/>
    <tableColumn id="2" xr3:uid="{BE48C6ED-858E-4A4A-B997-30DB01762594}" name="Documento" dataDxfId="163" totalsRowDxfId="14"/>
    <tableColumn id="3" xr3:uid="{A147792C-0F10-4874-87AC-88DA85A964CA}" name="Valor" totalsRowFunction="sum" dataDxfId="162" totalsRowDxfId="1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61">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60" totalsRowDxfId="12"/>
    <tableColumn id="2" xr3:uid="{1DD5A06D-F8B3-422E-9DF5-5F401BA772E0}" name="Documento" dataDxfId="159" totalsRowDxfId="11"/>
    <tableColumn id="3" xr3:uid="{A905D5C3-C712-4BC1-B850-7FAC5FCC9ECC}" name="Valor" totalsRowFunction="sum" dataDxfId="158" totalsRowDxfId="1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9" dataCellStyle="Normal"/>
    <tableColumn id="2" xr3:uid="{BB6AA3CF-2F58-4ED7-B754-9A6CD234B560}" name="Documento" totalsRowDxfId="8" dataCellStyle="Normal"/>
    <tableColumn id="3" xr3:uid="{18F21E44-BC5B-484E-B824-3397BD3C0C5C}" name="Valor" totalsRowFunction="sum" dataDxfId="28" totalsRowDxfId="7" dataCellStyle="Normal"/>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57" dataCellStyle="Norm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56" totalsRowDxfId="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55" totalsRowDxfId="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54" totalsRowDxfId="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53" totalsRowDxfId="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52" totalsRowDxfId="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51" totalsRowDxf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50" totalsRowDxfId="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49" totalsRowDxfId="14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47" totalsRowDxfId="146"/>
    <tableColumn id="4" xr3:uid="{DAAE6A04-7E86-4107-A73E-A49084C37A77}" name="Haber" totalsRowFunction="sum" dataDxfId="145" totalsRowDxfId="14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43" totalsRowDxfId="142"/>
    <tableColumn id="4" xr3:uid="{243B575A-4E5E-49F1-B633-301542AB5732}" name="Haber" totalsRowFunction="sum" dataDxfId="141" totalsRowDxfId="14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39" totalsRowDxfId="138"/>
    <tableColumn id="4" xr3:uid="{9C5E7894-3679-4E30-B50C-35BA7674C168}" name="Haber" totalsRowFunction="sum" dataDxfId="137" totalsRowDxfId="13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35" totalsRowDxfId="134"/>
    <tableColumn id="4" xr3:uid="{14CFE248-F059-4F52-91F7-965B105085AF}" name="Haber" totalsRowFunction="sum" dataDxfId="133" totalsRowDxfId="13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31" totalsRowDxfId="130"/>
    <tableColumn id="4" xr3:uid="{4B130E2A-F81A-4B12-841F-384CD4E4E208}" name="Haber" totalsRowFunction="sum" dataDxfId="129" totalsRowDxfId="12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27" totalsRowDxfId="126"/>
    <tableColumn id="4" xr3:uid="{ED2E782F-97BB-478A-B192-D6C97AFE2049}" name="Haber" totalsRowFunction="sum" dataDxfId="125" totalsRowDxfId="12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23" totalsRowDxfId="122">
      <calculatedColumnFormula>E127+E128</calculatedColumnFormula>
    </tableColumn>
    <tableColumn id="4" xr3:uid="{2D241872-0B21-4220-BB55-8FA9CF3BDEBC}" name="Haber" totalsRowFunction="sum" dataDxfId="121" totalsRowDxfId="12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19" totalsRowDxfId="118"/>
    <tableColumn id="3" xr3:uid="{C8DA64B3-5A04-483E-B3FF-526DA72EAF4B}" name="Interes" totalsRowFunction="sum" dataDxfId="117" totalsRowDxfId="116"/>
    <tableColumn id="4" xr3:uid="{6D8EBC55-606C-4284-AA47-2B69DB2011FF}" name="Cuota" totalsRowFunction="sum" dataDxfId="115" totalsRowDxfId="114"/>
    <tableColumn id="5" xr3:uid="{58AC5A18-A329-4A3B-8EE4-4A12D7577EDA}" name="Saldo" totalsRowFunction="sum" totalsRowDxfId="11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12" totalsRowDxfId="111"/>
    <tableColumn id="4" xr3:uid="{4677B9FA-A42C-414A-8717-B780F3E27FA4}" name="Haber" totalsRowFunction="sum" dataDxfId="110" totalsRowDxfId="10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08" totalsRowDxfId="107"/>
    <tableColumn id="4" xr3:uid="{89FE12DA-22B1-45E4-94D6-3A6C8991A523}" name="Haber" totalsRowFunction="sum" dataDxfId="106" totalsRowDxfId="10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104" totalsRowDxfId="103"/>
    <tableColumn id="4" xr3:uid="{412DFE33-BC60-49EE-8850-5497528DFF88}" name="Haber" totalsRowFunction="sum" dataDxfId="102" totalsRowDxfId="10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100" totalsRowDxfId="99"/>
    <tableColumn id="4" xr3:uid="{F75BD319-D3E6-4DF6-894C-F4497FF0B20C}" name="Haber" totalsRowFunction="sum" dataDxfId="98" totalsRowDxfId="9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96" totalsRowDxfId="95"/>
    <tableColumn id="4" xr3:uid="{FE11E439-C1D8-416C-AAC7-B0ECD68C978C}" name="Haber" totalsRowFunction="sum" dataDxfId="94" totalsRowDxfId="9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92" totalsRowDxfId="91"/>
    <tableColumn id="4" xr3:uid="{37160474-1F6C-4D02-91D8-18CBB9047285}" name="Haber" totalsRowFunction="sum" dataDxfId="90" totalsRowDxfId="8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88" totalsRowDxfId="87"/>
    <tableColumn id="4" xr3:uid="{5A2650BB-019B-4084-850D-DD5AFE3BE50E}" name="Haber" totalsRowFunction="sum" dataDxfId="86" totalsRowDxfId="8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84" totalsRowDxfId="8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82" totalsRowDxfId="81"/>
    <tableColumn id="3" xr3:uid="{FF418158-48A0-43C9-B333-E877554673EC}" name="Interes" totalsRowFunction="sum" dataDxfId="80" totalsRowDxfId="79"/>
    <tableColumn id="4" xr3:uid="{3384BC44-21A8-4BD8-9235-D612F8E58F5D}" name="Cuota" totalsRowFunction="sum" dataDxfId="78" totalsRowDxfId="77"/>
    <tableColumn id="5" xr3:uid="{D47F5177-F0FC-4100-851B-893D901D5AC7}" name="Saldo" totalsRowFunction="count" dataDxfId="7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75" totalsRowDxfId="74"/>
    <tableColumn id="4" xr3:uid="{E1D0EE40-D208-42A4-A3C6-CBF48856703D}" name="Haber" totalsRowFunction="sum" dataDxfId="73" totalsRowDxfId="7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71" totalsRowDxfId="70"/>
    <tableColumn id="4" xr3:uid="{1BBE9969-3F6D-4468-B5ED-EE6C44EE6216}" name="Haber" totalsRowFunction="sum" dataDxfId="69" totalsRowDxfId="6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67" totalsRowDxfId="66"/>
    <tableColumn id="4" xr3:uid="{1CE844E5-37E1-4E88-958F-F8317F23B841}" name="Haber" totalsRowFunction="sum" dataDxfId="65" totalsRowDxfId="64"/>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63" totalsRowDxfId="62"/>
    <tableColumn id="4" xr3:uid="{475B5169-A884-44F4-88DF-29BB8346B501}" name="Haber" totalsRowFunction="sum" dataDxfId="61" totalsRowDxfId="6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59" totalsRowDxfId="58"/>
    <tableColumn id="4" xr3:uid="{A06346F3-32B7-45B6-940E-825880D575AC}" name="Haber" totalsRowFunction="sum" dataDxfId="57" totalsRowDxfId="56"/>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8F87A88-0EA6-4E66-AC89-982D8B774E72}" name="tbl_instrumentos_financieros_10" displayName="tbl_instrumentos_financieros_10" ref="S22:V24" insertRow="1" totalsRowCount="1">
  <autoFilter ref="S22:V23" xr:uid="{68F87A88-0EA6-4E66-AC89-982D8B774E72}">
    <filterColumn colId="0" hiddenButton="1"/>
    <filterColumn colId="1" hiddenButton="1"/>
    <filterColumn colId="2" hiddenButton="1"/>
    <filterColumn colId="3" hiddenButton="1"/>
  </autoFilter>
  <tableColumns count="4">
    <tableColumn id="1" xr3:uid="{E384DDE9-CF18-4784-9800-41964868756A}" name="Codigo" totalsRowLabel="Total"/>
    <tableColumn id="2" xr3:uid="{6F65DE92-4B71-44B3-A954-4AD831F7FCBF}" name="Cuenta"/>
    <tableColumn id="3" xr3:uid="{4D21A3C6-5A36-4C4B-8CFE-177B9D6C5F74}" name="Debe" totalsRowFunction="sum" dataDxfId="55" totalsRowDxfId="54"/>
    <tableColumn id="4" xr3:uid="{B5291874-AB0F-4C1D-AE1F-795BCC871ECF}" name="Haber" totalsRowFunction="sum" dataDxfId="53" totalsRowDxfId="5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F42126E-E303-4CBB-B620-77035B509058}" name="tbl_instrymentos_financieros_111" displayName="tbl_instrymentos_financieros_111" ref="S27:V29" totalsRowCount="1">
  <autoFilter ref="S27:V28" xr:uid="{6F42126E-E303-4CBB-B620-77035B509058}">
    <filterColumn colId="0" hiddenButton="1"/>
    <filterColumn colId="1" hiddenButton="1"/>
    <filterColumn colId="2" hiddenButton="1"/>
    <filterColumn colId="3" hiddenButton="1"/>
  </autoFilter>
  <tableColumns count="4">
    <tableColumn id="1" xr3:uid="{D4245203-8174-46BB-AC26-E64A007B9F07}" name="Codigo" totalsRowLabel="Total"/>
    <tableColumn id="2" xr3:uid="{5AB2C7DB-28CD-49DF-A510-867687EA605D}" name="Cuenta"/>
    <tableColumn id="3" xr3:uid="{D244058E-01FE-425B-90E9-3ACBDC606675}" name="Debe" totalsRowFunction="sum" dataDxfId="51" totalsRowDxfId="50"/>
    <tableColumn id="4" xr3:uid="{647E470B-D03D-4F9E-840F-C8F58422B117}" name="Haber" totalsRowFunction="sum" dataDxfId="49" totalsRowDxfId="48"/>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F05E40AF-5EFE-437D-94A0-3B0A6CF9451D}" name="tbl_instrymentos_financieros_122" displayName="tbl_instrymentos_financieros_122" ref="S36:V38" totalsRowCount="1">
  <autoFilter ref="S36:V37" xr:uid="{F05E40AF-5EFE-437D-94A0-3B0A6CF9451D}">
    <filterColumn colId="0" hiddenButton="1"/>
    <filterColumn colId="1" hiddenButton="1"/>
    <filterColumn colId="2" hiddenButton="1"/>
    <filterColumn colId="3" hiddenButton="1"/>
  </autoFilter>
  <tableColumns count="4">
    <tableColumn id="1" xr3:uid="{0FE52B1D-2D91-4DBC-8783-7BCD4C1EB119}" name="Codigo" totalsRowLabel="Total"/>
    <tableColumn id="2" xr3:uid="{22C9FB9C-3064-467A-916E-3DF35DC6BB7E}" name="Cuenta"/>
    <tableColumn id="3" xr3:uid="{D09EA833-B4A1-4909-A96A-E70C167D0AD1}" name="Debe" totalsRowFunction="sum" dataDxfId="47" totalsRowDxfId="46"/>
    <tableColumn id="4" xr3:uid="{BA6D5FB5-D1F5-44B4-A158-A109057BBEED}" name="Haber" totalsRowFunction="sum" dataDxfId="45" totalsRowDxfId="4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B0326D5E-F9BB-436B-ACB4-C195AEAB14E6}" name="tbl_instrymentos_financieros_123" displayName="tbl_instrymentos_financieros_123" ref="S41:V43" totalsRowCount="1">
  <autoFilter ref="S41:V42" xr:uid="{B0326D5E-F9BB-436B-ACB4-C195AEAB14E6}">
    <filterColumn colId="0" hiddenButton="1"/>
    <filterColumn colId="1" hiddenButton="1"/>
    <filterColumn colId="2" hiddenButton="1"/>
    <filterColumn colId="3" hiddenButton="1"/>
  </autoFilter>
  <tableColumns count="4">
    <tableColumn id="1" xr3:uid="{5B1F5A46-0C30-4E32-A355-273FD7E005C0}" name="Codigo" totalsRowLabel="Total"/>
    <tableColumn id="2" xr3:uid="{CEA4A4C4-F9CA-4168-8BF7-AF37EF1B0432}" name="Cuenta"/>
    <tableColumn id="3" xr3:uid="{AFA691C9-2F97-4616-BB0E-0F064D309B84}" name="Debe" totalsRowFunction="sum" dataDxfId="43" totalsRowDxfId="42"/>
    <tableColumn id="4" xr3:uid="{5232B17B-F159-4519-A31B-3F9061289C98}" name="Haber" totalsRowFunction="sum" dataDxfId="41" totalsRow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5987CC1-ED26-4B15-88AB-023C74BD0593}" name="tbl_instrymentos_financieros_124" displayName="tbl_instrymentos_financieros_124" ref="S45:V47" insertRow="1" totalsRowCount="1">
  <autoFilter ref="S45:V46" xr:uid="{C5987CC1-ED26-4B15-88AB-023C74BD0593}">
    <filterColumn colId="0" hiddenButton="1"/>
    <filterColumn colId="1" hiddenButton="1"/>
    <filterColumn colId="2" hiddenButton="1"/>
    <filterColumn colId="3" hiddenButton="1"/>
  </autoFilter>
  <tableColumns count="4">
    <tableColumn id="1" xr3:uid="{EBDFEE08-8D56-4065-BB5B-A6F7B783DE6D}" name="Codigo" totalsRowLabel="Total"/>
    <tableColumn id="2" xr3:uid="{958A3A1C-BAF8-4C46-9445-9E758899306A}" name="Cuenta"/>
    <tableColumn id="3" xr3:uid="{9ECEA1A8-FAAB-47A2-BB16-4F99D6213739}" name="Debe" totalsRowFunction="sum" dataDxfId="39" totalsRowDxfId="38"/>
    <tableColumn id="4" xr3:uid="{A5B63903-0EA7-49BB-8B02-9648A4182230}" name="Haber" totalsRowFunction="sum" dataDxfId="37" totalsRow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35" dataDxfId="33" headerRowBorderDxfId="34" tableBorderDxfId="32" totalsRowBorderDxfId="31" headerRowCellStyle="Normal_Hoja1" dataCellStyle="Normal_Hoja1">
  <autoFilter ref="A1:B2473" xr:uid="{84F4EBC0-8A41-414B-83A3-EED00469B752}"/>
  <tableColumns count="2">
    <tableColumn id="1" xr3:uid="{37DE6704-8DB2-47A7-9BCD-1A097FAFA87B}" name="Codigo" dataDxfId="30" dataCellStyle="Normal_Hoja1"/>
    <tableColumn id="2" xr3:uid="{898CFDA3-DCFE-4321-A705-0E574E55217B}" name="Nombre" dataDxfId="29"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drawing" Target="../drawings/drawing10.xml"/><Relationship Id="rId16" Type="http://schemas.openxmlformats.org/officeDocument/2006/relationships/table" Target="../tables/table26.xml"/><Relationship Id="rId1" Type="http://schemas.openxmlformats.org/officeDocument/2006/relationships/printerSettings" Target="../printerSettings/printerSettings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 Type="http://schemas.openxmlformats.org/officeDocument/2006/relationships/table" Target="../tables/table30.xml"/><Relationship Id="rId21" Type="http://schemas.openxmlformats.org/officeDocument/2006/relationships/table" Target="../tables/table48.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2" Type="http://schemas.openxmlformats.org/officeDocument/2006/relationships/drawing" Target="../drawings/drawing11.xml"/><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printerSettings" Target="../printerSettings/printerSettings9.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6" t="s">
        <v>3787</v>
      </c>
      <c r="D1" s="66"/>
      <c r="E1" s="66"/>
      <c r="F1" s="66"/>
      <c r="G1" s="66"/>
      <c r="H1" s="66"/>
      <c r="I1" s="66"/>
    </row>
    <row r="2" spans="1:9" ht="20.25" x14ac:dyDescent="0.3">
      <c r="C2" s="67" t="s">
        <v>3726</v>
      </c>
      <c r="D2" s="67"/>
      <c r="E2" s="68" t="s">
        <v>3732</v>
      </c>
      <c r="F2" s="69"/>
      <c r="G2" s="69"/>
      <c r="H2" s="69"/>
      <c r="I2" s="69"/>
    </row>
    <row r="3" spans="1:9" ht="20.25" x14ac:dyDescent="0.3">
      <c r="C3" s="67" t="s">
        <v>3728</v>
      </c>
      <c r="D3" s="67"/>
      <c r="E3" s="70">
        <v>900235498</v>
      </c>
      <c r="F3" s="71"/>
      <c r="G3" s="71"/>
      <c r="H3" s="71"/>
      <c r="I3" s="71"/>
    </row>
    <row r="4" spans="1:9" ht="20.25" x14ac:dyDescent="0.3">
      <c r="C4" s="67" t="s">
        <v>3729</v>
      </c>
      <c r="D4" s="67"/>
      <c r="E4" s="70" t="s">
        <v>3734</v>
      </c>
      <c r="F4" s="71"/>
      <c r="G4" s="71"/>
      <c r="H4" s="71"/>
      <c r="I4" s="71"/>
    </row>
    <row r="5" spans="1:9" ht="20.25" x14ac:dyDescent="0.3">
      <c r="C5" s="67" t="s">
        <v>3730</v>
      </c>
      <c r="D5" s="67"/>
      <c r="E5" s="70" t="s">
        <v>3733</v>
      </c>
      <c r="F5" s="71"/>
      <c r="G5" s="71"/>
      <c r="H5" s="71"/>
      <c r="I5" s="71"/>
    </row>
    <row r="6" spans="1:9" ht="20.25" x14ac:dyDescent="0.3">
      <c r="C6" s="67" t="s">
        <v>3788</v>
      </c>
      <c r="D6" s="67"/>
      <c r="E6" s="70" t="s">
        <v>3735</v>
      </c>
      <c r="F6" s="71"/>
      <c r="G6" s="71"/>
      <c r="H6" s="71"/>
      <c r="I6" s="71"/>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5:D5"/>
    <mergeCell ref="E5:I5"/>
    <mergeCell ref="C6:D6"/>
    <mergeCell ref="E6:I6"/>
    <mergeCell ref="C4:D4"/>
    <mergeCell ref="E4:I4"/>
    <mergeCell ref="C1:I1"/>
    <mergeCell ref="C2:D2"/>
    <mergeCell ref="E2:I2"/>
    <mergeCell ref="C3:D3"/>
    <mergeCell ref="E3:I3"/>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3" t="s">
        <v>3787</v>
      </c>
      <c r="D1" s="73"/>
      <c r="E1" s="73"/>
      <c r="F1" s="73"/>
      <c r="G1" s="73"/>
      <c r="H1" s="73"/>
      <c r="I1" s="73"/>
    </row>
    <row r="2" spans="3:9" ht="20.25" x14ac:dyDescent="0.3">
      <c r="C2" s="72" t="s">
        <v>3726</v>
      </c>
      <c r="D2" s="72"/>
      <c r="E2" s="68" t="s">
        <v>3732</v>
      </c>
      <c r="F2" s="69"/>
      <c r="G2" s="69"/>
      <c r="H2" s="69"/>
      <c r="I2" s="69"/>
    </row>
    <row r="3" spans="3:9" ht="20.25" x14ac:dyDescent="0.3">
      <c r="C3" s="72" t="s">
        <v>3728</v>
      </c>
      <c r="D3" s="72"/>
      <c r="E3" s="70">
        <v>900235498</v>
      </c>
      <c r="F3" s="71"/>
      <c r="G3" s="71"/>
      <c r="H3" s="71"/>
      <c r="I3" s="71"/>
    </row>
    <row r="4" spans="3:9" ht="20.25" x14ac:dyDescent="0.3">
      <c r="C4" s="72" t="s">
        <v>3729</v>
      </c>
      <c r="D4" s="72"/>
      <c r="E4" s="70" t="s">
        <v>3734</v>
      </c>
      <c r="F4" s="71"/>
      <c r="G4" s="71"/>
      <c r="H4" s="71"/>
      <c r="I4" s="71"/>
    </row>
    <row r="5" spans="3:9" ht="20.25" x14ac:dyDescent="0.3">
      <c r="C5" s="72" t="s">
        <v>3730</v>
      </c>
      <c r="D5" s="72"/>
      <c r="E5" s="70" t="s">
        <v>3733</v>
      </c>
      <c r="F5" s="71"/>
      <c r="G5" s="71"/>
      <c r="H5" s="71"/>
      <c r="I5" s="71"/>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4" t="s">
        <v>3727</v>
      </c>
      <c r="C2" s="74"/>
      <c r="D2" s="74"/>
      <c r="E2" s="74"/>
      <c r="F2" s="74"/>
    </row>
    <row r="3" spans="2:6" ht="20.25" x14ac:dyDescent="0.3">
      <c r="B3" s="75" t="s">
        <v>3726</v>
      </c>
      <c r="C3" s="75"/>
      <c r="D3" s="71" t="s">
        <v>3732</v>
      </c>
      <c r="E3" s="71"/>
      <c r="F3" s="71"/>
    </row>
    <row r="4" spans="2:6" ht="20.25" x14ac:dyDescent="0.3">
      <c r="B4" s="75" t="s">
        <v>3728</v>
      </c>
      <c r="C4" s="75"/>
      <c r="D4" s="71">
        <v>900235498</v>
      </c>
      <c r="E4" s="71"/>
      <c r="F4" s="71"/>
    </row>
    <row r="5" spans="2:6" ht="20.25" x14ac:dyDescent="0.3">
      <c r="B5" s="75" t="s">
        <v>3729</v>
      </c>
      <c r="C5" s="75"/>
      <c r="D5" s="71" t="s">
        <v>3734</v>
      </c>
      <c r="E5" s="71"/>
      <c r="F5" s="71"/>
    </row>
    <row r="6" spans="2:6" ht="20.25" x14ac:dyDescent="0.3">
      <c r="B6" s="75" t="s">
        <v>3730</v>
      </c>
      <c r="C6" s="75"/>
      <c r="D6" s="71" t="s">
        <v>3733</v>
      </c>
      <c r="E6" s="71"/>
      <c r="F6" s="71"/>
    </row>
    <row r="7" spans="2:6" ht="20.25" x14ac:dyDescent="0.3">
      <c r="B7" s="75" t="s">
        <v>3731</v>
      </c>
      <c r="C7" s="75"/>
      <c r="D7" s="71" t="s">
        <v>3735</v>
      </c>
      <c r="E7" s="71"/>
      <c r="F7" s="71"/>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D7:F7"/>
    <mergeCell ref="B3:C3"/>
    <mergeCell ref="B4:C4"/>
    <mergeCell ref="B5:C5"/>
    <mergeCell ref="B6:C6"/>
    <mergeCell ref="B7:C7"/>
    <mergeCell ref="B2:F2"/>
    <mergeCell ref="D3:F3"/>
    <mergeCell ref="D4:F4"/>
    <mergeCell ref="D5:F5"/>
    <mergeCell ref="D6:F6"/>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topLeftCell="A5"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3" t="s">
        <v>3784</v>
      </c>
      <c r="C2" s="73"/>
      <c r="D2" s="73"/>
      <c r="E2" s="73"/>
      <c r="F2" s="73"/>
      <c r="G2" s="73"/>
      <c r="H2" s="73"/>
      <c r="I2" s="73"/>
    </row>
    <row r="3" spans="2:9" ht="20.25" x14ac:dyDescent="0.3">
      <c r="B3" s="72" t="s">
        <v>3726</v>
      </c>
      <c r="C3" s="72"/>
      <c r="D3" s="77" t="s">
        <v>3732</v>
      </c>
      <c r="E3" s="77"/>
      <c r="F3" s="77"/>
      <c r="G3" s="77"/>
      <c r="H3" s="77"/>
      <c r="I3" s="77"/>
    </row>
    <row r="4" spans="2:9" ht="20.25" x14ac:dyDescent="0.3">
      <c r="B4" s="72" t="s">
        <v>3728</v>
      </c>
      <c r="C4" s="72"/>
      <c r="D4" s="77">
        <v>900235498</v>
      </c>
      <c r="E4" s="77"/>
      <c r="F4" s="77"/>
      <c r="G4" s="77"/>
      <c r="H4" s="77"/>
      <c r="I4" s="77"/>
    </row>
    <row r="5" spans="2:9" ht="20.25" x14ac:dyDescent="0.3">
      <c r="B5" s="72" t="s">
        <v>3729</v>
      </c>
      <c r="C5" s="72"/>
      <c r="D5" s="77" t="s">
        <v>3734</v>
      </c>
      <c r="E5" s="77"/>
      <c r="F5" s="77"/>
      <c r="G5" s="77"/>
      <c r="H5" s="77"/>
      <c r="I5" s="77"/>
    </row>
    <row r="6" spans="2:9" ht="20.25" x14ac:dyDescent="0.3">
      <c r="B6" s="72" t="s">
        <v>3730</v>
      </c>
      <c r="C6" s="72"/>
      <c r="D6" s="77" t="s">
        <v>3733</v>
      </c>
      <c r="E6" s="77"/>
      <c r="F6" s="77"/>
      <c r="G6" s="77"/>
      <c r="H6" s="77"/>
      <c r="I6" s="77"/>
    </row>
    <row r="7" spans="2:9" ht="20.25" x14ac:dyDescent="0.3">
      <c r="B7" s="72" t="s">
        <v>3731</v>
      </c>
      <c r="C7" s="72"/>
      <c r="D7" s="77" t="s">
        <v>3735</v>
      </c>
      <c r="E7" s="77"/>
      <c r="F7" s="77"/>
      <c r="G7" s="77"/>
      <c r="H7" s="77"/>
      <c r="I7" s="77"/>
    </row>
    <row r="9" spans="2:9" ht="20.25" x14ac:dyDescent="0.3">
      <c r="F9" s="72" t="s">
        <v>3774</v>
      </c>
      <c r="G9" s="72"/>
      <c r="H9" s="76">
        <v>1700000</v>
      </c>
      <c r="I9" s="76"/>
    </row>
    <row r="10" spans="2:9" ht="20.25" x14ac:dyDescent="0.3">
      <c r="F10" s="72" t="s">
        <v>3775</v>
      </c>
      <c r="G10" s="72"/>
      <c r="H10" s="76">
        <v>1529200</v>
      </c>
      <c r="I10" s="76"/>
    </row>
    <row r="11" spans="2:9" ht="20.25" x14ac:dyDescent="0.3">
      <c r="F11" s="72" t="s">
        <v>3776</v>
      </c>
      <c r="G11" s="72"/>
      <c r="H11" s="76">
        <v>1529200</v>
      </c>
      <c r="I11" s="76"/>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2" t="s">
        <v>3781</v>
      </c>
      <c r="C34" s="72"/>
      <c r="D34" s="72"/>
      <c r="F34" s="72" t="s">
        <v>3782</v>
      </c>
      <c r="G34" s="72"/>
      <c r="H34" s="72"/>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2" t="s">
        <v>3781</v>
      </c>
      <c r="C44" s="72"/>
      <c r="D44" s="72"/>
      <c r="E44" s="6">
        <v>143000</v>
      </c>
      <c r="F44" s="7"/>
    </row>
    <row r="45" spans="2:8" ht="20.25" x14ac:dyDescent="0.3">
      <c r="B45" s="72" t="s">
        <v>3782</v>
      </c>
      <c r="C45" s="72"/>
      <c r="D45" s="72"/>
      <c r="E45" s="6">
        <v>27800</v>
      </c>
      <c r="F45" s="7"/>
    </row>
    <row r="46" spans="2:8" ht="20.25" x14ac:dyDescent="0.3">
      <c r="B46" s="72" t="s">
        <v>3783</v>
      </c>
      <c r="C46" s="72"/>
      <c r="D46" s="72"/>
      <c r="E46" s="6">
        <v>170000</v>
      </c>
      <c r="F46" s="7"/>
    </row>
  </sheetData>
  <mergeCells count="22">
    <mergeCell ref="B6:C6"/>
    <mergeCell ref="B7:C7"/>
    <mergeCell ref="B2:I2"/>
    <mergeCell ref="D3:I3"/>
    <mergeCell ref="D4:I4"/>
    <mergeCell ref="D5:I5"/>
    <mergeCell ref="D6:I6"/>
    <mergeCell ref="D7:I7"/>
    <mergeCell ref="B3:C3"/>
    <mergeCell ref="B4:C4"/>
    <mergeCell ref="B5:C5"/>
    <mergeCell ref="F9:G9"/>
    <mergeCell ref="F10:G10"/>
    <mergeCell ref="F11:G11"/>
    <mergeCell ref="H9:I9"/>
    <mergeCell ref="H10:I10"/>
    <mergeCell ref="H11:I11"/>
    <mergeCell ref="B46:D46"/>
    <mergeCell ref="B34:D34"/>
    <mergeCell ref="F34:H34"/>
    <mergeCell ref="B44:D44"/>
    <mergeCell ref="B45:D4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6"/>
  <sheetViews>
    <sheetView topLeftCell="A12" zoomScaleNormal="100" workbookViewId="0">
      <selection activeCell="H33" sqref="H33"/>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3" t="s">
        <v>3785</v>
      </c>
      <c r="C1" s="73"/>
      <c r="D1" s="73"/>
      <c r="E1" s="73"/>
      <c r="F1" s="73"/>
      <c r="G1" s="8"/>
      <c r="H1" s="8"/>
      <c r="I1" s="8"/>
    </row>
    <row r="2" spans="2:9" ht="20.25" x14ac:dyDescent="0.3">
      <c r="B2" s="72" t="s">
        <v>3726</v>
      </c>
      <c r="C2" s="72"/>
      <c r="D2" s="77" t="s">
        <v>3732</v>
      </c>
      <c r="E2" s="77"/>
      <c r="F2" s="77"/>
      <c r="G2" s="9"/>
      <c r="H2" s="9"/>
      <c r="I2" s="9"/>
    </row>
    <row r="3" spans="2:9" ht="20.25" x14ac:dyDescent="0.3">
      <c r="B3" s="72" t="s">
        <v>3728</v>
      </c>
      <c r="C3" s="72"/>
      <c r="D3" s="77">
        <v>900235498</v>
      </c>
      <c r="E3" s="77"/>
      <c r="F3" s="77"/>
      <c r="G3" s="9"/>
      <c r="H3" s="9"/>
      <c r="I3" s="9"/>
    </row>
    <row r="4" spans="2:9" ht="20.25" x14ac:dyDescent="0.3">
      <c r="B4" s="72" t="s">
        <v>3729</v>
      </c>
      <c r="C4" s="72"/>
      <c r="D4" s="77" t="s">
        <v>3734</v>
      </c>
      <c r="E4" s="77"/>
      <c r="F4" s="77"/>
      <c r="G4" s="9"/>
      <c r="H4" s="9"/>
      <c r="I4" s="9"/>
    </row>
    <row r="5" spans="2:9" ht="20.25" x14ac:dyDescent="0.3">
      <c r="B5" s="72" t="s">
        <v>3730</v>
      </c>
      <c r="C5" s="72"/>
      <c r="D5" s="77" t="s">
        <v>3733</v>
      </c>
      <c r="E5" s="77"/>
      <c r="F5" s="77"/>
      <c r="G5" s="9"/>
      <c r="H5" s="9"/>
      <c r="I5" s="9"/>
    </row>
    <row r="6" spans="2:9" ht="20.25" x14ac:dyDescent="0.3">
      <c r="B6" s="72" t="s">
        <v>3731</v>
      </c>
      <c r="C6" s="72"/>
      <c r="D6" s="77" t="s">
        <v>3735</v>
      </c>
      <c r="E6" s="77"/>
      <c r="F6" s="77"/>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t="s">
        <v>4</v>
      </c>
      <c r="D36" s="4"/>
      <c r="E36" s="4">
        <f>SUBTOTAL(109,tbl_reconocimiento_caja_menor[Debe])</f>
        <v>1529199.6800000002</v>
      </c>
      <c r="F36"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3" t="s">
        <v>3787</v>
      </c>
      <c r="D2" s="73"/>
      <c r="E2" s="73"/>
      <c r="F2" s="73"/>
      <c r="G2" s="73"/>
      <c r="H2" s="73"/>
      <c r="I2" s="73"/>
    </row>
    <row r="3" spans="3:9" ht="20.25" x14ac:dyDescent="0.3">
      <c r="C3" s="72" t="s">
        <v>3726</v>
      </c>
      <c r="D3" s="72"/>
      <c r="E3" s="68" t="s">
        <v>3732</v>
      </c>
      <c r="F3" s="69"/>
      <c r="G3" s="69"/>
      <c r="H3" s="69"/>
      <c r="I3" s="69"/>
    </row>
    <row r="4" spans="3:9" ht="20.25" x14ac:dyDescent="0.3">
      <c r="C4" s="72" t="s">
        <v>3728</v>
      </c>
      <c r="D4" s="72"/>
      <c r="E4" s="70">
        <v>900235498</v>
      </c>
      <c r="F4" s="71"/>
      <c r="G4" s="71"/>
      <c r="H4" s="71"/>
      <c r="I4" s="71"/>
    </row>
    <row r="5" spans="3:9" ht="20.25" x14ac:dyDescent="0.3">
      <c r="C5" s="72" t="s">
        <v>3729</v>
      </c>
      <c r="D5" s="72"/>
      <c r="E5" s="70" t="s">
        <v>3734</v>
      </c>
      <c r="F5" s="71"/>
      <c r="G5" s="71"/>
      <c r="H5" s="71"/>
      <c r="I5" s="71"/>
    </row>
    <row r="6" spans="3:9" ht="20.25" x14ac:dyDescent="0.3">
      <c r="C6" s="72" t="s">
        <v>3730</v>
      </c>
      <c r="D6" s="72"/>
      <c r="E6" s="70" t="s">
        <v>3733</v>
      </c>
      <c r="F6" s="71"/>
      <c r="G6" s="71"/>
      <c r="H6" s="71"/>
      <c r="I6" s="71"/>
    </row>
    <row r="7" spans="3:9" ht="20.25" x14ac:dyDescent="0.3">
      <c r="C7" s="72" t="s">
        <v>3788</v>
      </c>
      <c r="D7" s="72"/>
      <c r="E7" s="70" t="s">
        <v>3735</v>
      </c>
      <c r="F7" s="71"/>
      <c r="G7" s="71"/>
      <c r="H7" s="71"/>
      <c r="I7" s="71"/>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B23" zoomScaleNormal="100" workbookViewId="0">
      <selection activeCell="F41" sqref="F41"/>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6" t="s">
        <v>3822</v>
      </c>
      <c r="D1" s="86"/>
      <c r="E1" s="86"/>
      <c r="F1" s="86"/>
      <c r="G1" s="86"/>
    </row>
    <row r="2" spans="3:10" ht="20.25" x14ac:dyDescent="0.3">
      <c r="C2" s="78" t="s">
        <v>3726</v>
      </c>
      <c r="D2" s="79"/>
      <c r="E2" s="83" t="s">
        <v>3732</v>
      </c>
      <c r="F2" s="84"/>
      <c r="G2" s="85"/>
    </row>
    <row r="3" spans="3:10" ht="20.25" x14ac:dyDescent="0.3">
      <c r="C3" s="78" t="s">
        <v>3728</v>
      </c>
      <c r="D3" s="79"/>
      <c r="E3" s="83">
        <v>900235498</v>
      </c>
      <c r="F3" s="84"/>
      <c r="G3" s="85"/>
    </row>
    <row r="4" spans="3:10" ht="20.25" x14ac:dyDescent="0.3">
      <c r="C4" s="78" t="s">
        <v>3730</v>
      </c>
      <c r="D4" s="79"/>
      <c r="E4" s="83" t="s">
        <v>3733</v>
      </c>
      <c r="F4" s="84"/>
      <c r="G4" s="85"/>
      <c r="J4" s="4"/>
    </row>
    <row r="5" spans="3:10" ht="20.25" x14ac:dyDescent="0.3">
      <c r="C5" s="78" t="s">
        <v>3823</v>
      </c>
      <c r="D5" s="79"/>
      <c r="E5" s="83" t="s">
        <v>3824</v>
      </c>
      <c r="F5" s="84"/>
      <c r="G5" s="85"/>
    </row>
    <row r="6" spans="3:10" ht="20.25" x14ac:dyDescent="0.3">
      <c r="C6" s="78" t="s">
        <v>3825</v>
      </c>
      <c r="D6" s="79"/>
      <c r="E6" s="83" t="s">
        <v>3826</v>
      </c>
      <c r="F6" s="84"/>
      <c r="G6" s="85"/>
      <c r="J6" s="4">
        <f>E7+F10</f>
        <v>12000000</v>
      </c>
    </row>
    <row r="7" spans="3:10" ht="20.25" x14ac:dyDescent="0.3">
      <c r="C7" s="78" t="s">
        <v>3827</v>
      </c>
      <c r="D7" s="79"/>
      <c r="E7" s="80">
        <v>10000000</v>
      </c>
      <c r="F7" s="81"/>
      <c r="G7" s="82"/>
    </row>
    <row r="9" spans="3:10" x14ac:dyDescent="0.25">
      <c r="C9" s="48" t="s">
        <v>3718</v>
      </c>
      <c r="D9" s="48" t="s">
        <v>3819</v>
      </c>
      <c r="E9" s="48" t="s">
        <v>3820</v>
      </c>
      <c r="F9" s="49" t="s">
        <v>2</v>
      </c>
      <c r="G9" s="49" t="s">
        <v>3</v>
      </c>
      <c r="H9" s="49" t="s">
        <v>3821</v>
      </c>
    </row>
    <row r="10" spans="3:10" x14ac:dyDescent="0.25">
      <c r="C10" s="53">
        <v>45383</v>
      </c>
      <c r="D10" s="54" t="s">
        <v>3849</v>
      </c>
      <c r="E10" s="54" t="s">
        <v>3850</v>
      </c>
      <c r="F10" s="55">
        <v>2000000</v>
      </c>
      <c r="G10" s="55"/>
      <c r="H10" s="55">
        <v>12000000</v>
      </c>
    </row>
    <row r="11" spans="3:10" x14ac:dyDescent="0.25">
      <c r="C11" s="53">
        <v>45383</v>
      </c>
      <c r="D11" s="54" t="s">
        <v>3851</v>
      </c>
      <c r="E11" s="54" t="s">
        <v>3852</v>
      </c>
      <c r="F11" s="55">
        <v>430000</v>
      </c>
      <c r="G11" s="55"/>
      <c r="H11" s="55">
        <v>12430000</v>
      </c>
    </row>
    <row r="12" spans="3:10" x14ac:dyDescent="0.25">
      <c r="C12" s="53">
        <v>45383</v>
      </c>
      <c r="D12" s="54" t="s">
        <v>3854</v>
      </c>
      <c r="E12" s="54" t="s">
        <v>3853</v>
      </c>
      <c r="F12" s="55"/>
      <c r="G12" s="55">
        <v>50530</v>
      </c>
      <c r="H12" s="55">
        <v>12379470</v>
      </c>
    </row>
    <row r="13" spans="3:10" x14ac:dyDescent="0.25">
      <c r="C13" s="53">
        <v>45384</v>
      </c>
      <c r="D13" s="54" t="s">
        <v>3855</v>
      </c>
      <c r="E13" s="54" t="s">
        <v>3856</v>
      </c>
      <c r="F13" s="55"/>
      <c r="G13" s="55">
        <v>5283000</v>
      </c>
      <c r="H13" s="55">
        <v>7096470</v>
      </c>
    </row>
    <row r="14" spans="3:10" x14ac:dyDescent="0.25">
      <c r="C14" s="51">
        <v>45384</v>
      </c>
      <c r="D14" s="52" t="s">
        <v>3857</v>
      </c>
      <c r="E14" s="52" t="s">
        <v>3858</v>
      </c>
      <c r="F14" s="50">
        <v>3500000</v>
      </c>
      <c r="G14" s="50"/>
      <c r="H14" s="50">
        <v>10596470</v>
      </c>
    </row>
    <row r="15" spans="3:10" x14ac:dyDescent="0.25">
      <c r="C15" s="53">
        <v>45384</v>
      </c>
      <c r="D15" s="54" t="s">
        <v>3859</v>
      </c>
      <c r="E15" s="54" t="s">
        <v>3860</v>
      </c>
      <c r="F15" s="55"/>
      <c r="G15" s="55">
        <v>1600000</v>
      </c>
      <c r="H15" s="55">
        <v>8996470</v>
      </c>
    </row>
    <row r="16" spans="3:10" x14ac:dyDescent="0.25">
      <c r="C16" s="53">
        <v>45384</v>
      </c>
      <c r="D16" s="54" t="s">
        <v>3861</v>
      </c>
      <c r="E16" s="54" t="s">
        <v>3862</v>
      </c>
      <c r="F16" s="55"/>
      <c r="G16" s="55">
        <v>1600000</v>
      </c>
      <c r="H16" s="55">
        <v>7396470</v>
      </c>
    </row>
    <row r="17" spans="3:8" x14ac:dyDescent="0.25">
      <c r="C17" s="53">
        <v>45385</v>
      </c>
      <c r="D17" s="54" t="s">
        <v>3863</v>
      </c>
      <c r="E17" s="54" t="s">
        <v>3864</v>
      </c>
      <c r="F17" s="55">
        <v>5483250</v>
      </c>
      <c r="G17" s="55"/>
      <c r="H17" s="55">
        <v>12879720</v>
      </c>
    </row>
    <row r="18" spans="3:8" x14ac:dyDescent="0.25">
      <c r="C18" s="51">
        <v>45385</v>
      </c>
      <c r="D18" s="52" t="s">
        <v>3865</v>
      </c>
      <c r="E18" s="52" t="s">
        <v>3866</v>
      </c>
      <c r="F18" s="50"/>
      <c r="G18" s="50">
        <v>360000</v>
      </c>
      <c r="H18" s="50">
        <v>12519720</v>
      </c>
    </row>
    <row r="19" spans="3:8" x14ac:dyDescent="0.25">
      <c r="C19" s="53">
        <v>45385</v>
      </c>
      <c r="D19" s="54" t="s">
        <v>3851</v>
      </c>
      <c r="E19" s="54" t="s">
        <v>3867</v>
      </c>
      <c r="F19" s="55">
        <v>1780000</v>
      </c>
      <c r="G19" s="55"/>
      <c r="H19" s="55">
        <v>14299720</v>
      </c>
    </row>
    <row r="20" spans="3:8" x14ac:dyDescent="0.25">
      <c r="C20" s="53">
        <v>45386</v>
      </c>
      <c r="D20" s="54" t="s">
        <v>3868</v>
      </c>
      <c r="E20" s="54" t="s">
        <v>3869</v>
      </c>
      <c r="F20" s="55"/>
      <c r="G20" s="55">
        <v>238000</v>
      </c>
      <c r="H20" s="55">
        <v>14061720</v>
      </c>
    </row>
    <row r="21" spans="3:8" x14ac:dyDescent="0.25">
      <c r="C21" s="53">
        <v>45386</v>
      </c>
      <c r="D21" s="54" t="s">
        <v>3870</v>
      </c>
      <c r="E21" s="54" t="s">
        <v>3871</v>
      </c>
      <c r="F21" s="55"/>
      <c r="G21" s="55">
        <v>7000000</v>
      </c>
      <c r="H21" s="55">
        <v>7061720</v>
      </c>
    </row>
    <row r="22" spans="3:8" x14ac:dyDescent="0.25">
      <c r="C22" s="51">
        <v>45386</v>
      </c>
      <c r="D22" s="52" t="s">
        <v>3872</v>
      </c>
      <c r="E22" s="52" t="s">
        <v>3873</v>
      </c>
      <c r="F22" s="50">
        <v>750000</v>
      </c>
      <c r="G22" s="50"/>
      <c r="H22" s="50">
        <v>7811720</v>
      </c>
    </row>
    <row r="23" spans="3:8" x14ac:dyDescent="0.25">
      <c r="C23" s="43">
        <v>45387</v>
      </c>
      <c r="D23" s="45" t="s">
        <v>3874</v>
      </c>
      <c r="E23" s="45" t="s">
        <v>3875</v>
      </c>
      <c r="F23" s="46">
        <v>980000</v>
      </c>
      <c r="G23" s="46"/>
      <c r="H23" s="46">
        <v>8791720</v>
      </c>
    </row>
    <row r="24" spans="3:8" x14ac:dyDescent="0.25">
      <c r="C24" s="53">
        <v>45387</v>
      </c>
      <c r="D24" s="54" t="s">
        <v>3876</v>
      </c>
      <c r="E24" s="54" t="s">
        <v>3877</v>
      </c>
      <c r="F24" s="55"/>
      <c r="G24" s="55">
        <v>45900</v>
      </c>
      <c r="H24" s="55">
        <v>8745820</v>
      </c>
    </row>
    <row r="25" spans="3:8" x14ac:dyDescent="0.25">
      <c r="C25" s="53">
        <v>45387</v>
      </c>
      <c r="D25" s="54" t="s">
        <v>3878</v>
      </c>
      <c r="E25" s="54" t="s">
        <v>3879</v>
      </c>
      <c r="F25" s="55"/>
      <c r="G25" s="55">
        <v>400000</v>
      </c>
      <c r="H25" s="55">
        <v>8345820</v>
      </c>
    </row>
    <row r="26" spans="3:8" x14ac:dyDescent="0.25">
      <c r="C26" s="53">
        <v>45387</v>
      </c>
      <c r="D26" s="54" t="s">
        <v>3880</v>
      </c>
      <c r="E26" s="54" t="s">
        <v>3881</v>
      </c>
      <c r="F26" s="55"/>
      <c r="G26" s="55">
        <v>170000</v>
      </c>
      <c r="H26" s="55">
        <v>8175820</v>
      </c>
    </row>
    <row r="27" spans="3:8" x14ac:dyDescent="0.25">
      <c r="C27" s="53">
        <v>45387</v>
      </c>
      <c r="D27" s="54" t="s">
        <v>3882</v>
      </c>
      <c r="E27" s="54" t="s">
        <v>3883</v>
      </c>
      <c r="F27" s="55">
        <v>1965000</v>
      </c>
      <c r="G27" s="55"/>
      <c r="H27" s="55">
        <v>10140820</v>
      </c>
    </row>
    <row r="28" spans="3:8" x14ac:dyDescent="0.25">
      <c r="C28" s="43">
        <v>45388</v>
      </c>
      <c r="D28" s="45" t="s">
        <v>3851</v>
      </c>
      <c r="E28" s="45" t="s">
        <v>3884</v>
      </c>
      <c r="F28" s="46">
        <v>250000</v>
      </c>
      <c r="G28" s="46"/>
      <c r="H28" s="46">
        <v>10390820</v>
      </c>
    </row>
    <row r="29" spans="3:8" x14ac:dyDescent="0.25">
      <c r="C29" s="53">
        <v>45388</v>
      </c>
      <c r="D29" s="54" t="s">
        <v>3885</v>
      </c>
      <c r="E29" s="54" t="s">
        <v>3886</v>
      </c>
      <c r="F29" s="55"/>
      <c r="G29" s="55">
        <v>4500000</v>
      </c>
      <c r="H29" s="55">
        <v>5890820</v>
      </c>
    </row>
    <row r="30" spans="3:8" x14ac:dyDescent="0.25">
      <c r="C30" s="43">
        <v>45388</v>
      </c>
      <c r="D30" s="45" t="s">
        <v>3887</v>
      </c>
      <c r="E30" s="45" t="s">
        <v>3888</v>
      </c>
      <c r="F30" s="46"/>
      <c r="G30" s="46">
        <v>2300000</v>
      </c>
      <c r="H30" s="46">
        <v>3590820</v>
      </c>
    </row>
    <row r="31" spans="3:8" x14ac:dyDescent="0.25">
      <c r="C31" s="53">
        <v>45388</v>
      </c>
      <c r="D31" s="54" t="s">
        <v>3889</v>
      </c>
      <c r="E31" s="54" t="s">
        <v>3890</v>
      </c>
      <c r="F31" s="55">
        <v>3800000</v>
      </c>
      <c r="G31" s="55"/>
      <c r="H31" s="55">
        <v>7390820</v>
      </c>
    </row>
    <row r="32" spans="3:8" x14ac:dyDescent="0.25">
      <c r="C32" s="43">
        <v>45389</v>
      </c>
      <c r="D32" s="45" t="s">
        <v>3891</v>
      </c>
      <c r="E32" s="45" t="s">
        <v>3892</v>
      </c>
      <c r="F32" s="46">
        <v>270000</v>
      </c>
      <c r="G32" s="46"/>
      <c r="H32" s="46">
        <v>7660820</v>
      </c>
    </row>
    <row r="33" spans="3:8" x14ac:dyDescent="0.25">
      <c r="C33" s="53">
        <v>45389</v>
      </c>
      <c r="D33" s="54" t="s">
        <v>3893</v>
      </c>
      <c r="E33" s="54" t="s">
        <v>3894</v>
      </c>
      <c r="F33" s="55"/>
      <c r="G33" s="55">
        <v>100000</v>
      </c>
      <c r="H33" s="55">
        <v>7560820</v>
      </c>
    </row>
    <row r="34" spans="3:8" x14ac:dyDescent="0.25">
      <c r="C34" s="53">
        <v>45389</v>
      </c>
      <c r="D34" s="54" t="s">
        <v>3895</v>
      </c>
      <c r="E34" s="54" t="s">
        <v>3896</v>
      </c>
      <c r="F34" s="55"/>
      <c r="G34" s="55">
        <v>1300000</v>
      </c>
      <c r="H34" s="55">
        <v>6260820</v>
      </c>
    </row>
    <row r="35" spans="3:8" x14ac:dyDescent="0.25">
      <c r="C35" s="53">
        <v>45389</v>
      </c>
      <c r="D35" s="54" t="s">
        <v>3897</v>
      </c>
      <c r="E35" s="54" t="s">
        <v>3898</v>
      </c>
      <c r="F35" s="55"/>
      <c r="G35" s="55">
        <v>400000</v>
      </c>
      <c r="H35" s="55">
        <v>5860820</v>
      </c>
    </row>
    <row r="36" spans="3:8" x14ac:dyDescent="0.25">
      <c r="C36" s="43">
        <v>45391</v>
      </c>
      <c r="D36" s="45" t="s">
        <v>3899</v>
      </c>
      <c r="E36" s="45" t="s">
        <v>3900</v>
      </c>
      <c r="F36" s="46">
        <v>1200000</v>
      </c>
      <c r="G36" s="46"/>
      <c r="H36" s="46">
        <v>7060820</v>
      </c>
    </row>
    <row r="37" spans="3:8" x14ac:dyDescent="0.25">
      <c r="C37" s="53">
        <v>45391</v>
      </c>
      <c r="D37" s="54" t="s">
        <v>3901</v>
      </c>
      <c r="E37" s="54" t="s">
        <v>3902</v>
      </c>
      <c r="F37" s="55"/>
      <c r="G37" s="55">
        <v>250000</v>
      </c>
      <c r="H37" s="55">
        <v>6810820</v>
      </c>
    </row>
    <row r="38" spans="3:8" x14ac:dyDescent="0.25">
      <c r="C38" s="53">
        <v>45391</v>
      </c>
      <c r="D38" s="54" t="s">
        <v>3903</v>
      </c>
      <c r="E38" s="54" t="s">
        <v>3904</v>
      </c>
      <c r="F38" s="55"/>
      <c r="G38" s="55">
        <v>30000</v>
      </c>
      <c r="H38" s="55">
        <v>6780820</v>
      </c>
    </row>
    <row r="39" spans="3:8" x14ac:dyDescent="0.25">
      <c r="C39" s="53">
        <v>45391</v>
      </c>
      <c r="D39" s="54" t="s">
        <v>3905</v>
      </c>
      <c r="E39" s="54" t="s">
        <v>3906</v>
      </c>
      <c r="F39" s="55">
        <v>450000</v>
      </c>
      <c r="G39" s="55"/>
      <c r="H39" s="55">
        <v>7230820</v>
      </c>
    </row>
    <row r="40" spans="3:8" x14ac:dyDescent="0.25">
      <c r="C40" s="53">
        <v>45392</v>
      </c>
      <c r="D40" s="54" t="s">
        <v>3872</v>
      </c>
      <c r="E40" s="54" t="s">
        <v>3907</v>
      </c>
      <c r="F40" s="55">
        <v>1200000</v>
      </c>
      <c r="G40" s="55"/>
      <c r="H40" s="55">
        <v>8430820</v>
      </c>
    </row>
    <row r="41" spans="3:8" x14ac:dyDescent="0.25">
      <c r="C41" s="48" t="s">
        <v>4</v>
      </c>
      <c r="D41" s="48"/>
      <c r="E41" s="48"/>
      <c r="F41" s="49">
        <f>SUBTOTAL(109,tbl_libro_auxiliar_bancos[Debe])</f>
        <v>24058250</v>
      </c>
      <c r="G41" s="49">
        <f>SUBTOTAL(109,tbl_libro_auxiliar_bancos[Haber])</f>
        <v>25627430</v>
      </c>
      <c r="H41" s="49" cm="1">
        <f t="array" ref="H41">INDEX(tbl_libro_auxiliar_bancos[Saldo], COUNT(tbl_libro_auxiliar_bancos[Saldo]))</f>
        <v>8430820</v>
      </c>
    </row>
  </sheetData>
  <mergeCells count="13">
    <mergeCell ref="E3:G3"/>
    <mergeCell ref="C3:D3"/>
    <mergeCell ref="E2:G2"/>
    <mergeCell ref="C2:D2"/>
    <mergeCell ref="C1:G1"/>
    <mergeCell ref="C7:D7"/>
    <mergeCell ref="E7:G7"/>
    <mergeCell ref="C4:D4"/>
    <mergeCell ref="E4:G4"/>
    <mergeCell ref="C5:D5"/>
    <mergeCell ref="E5:G5"/>
    <mergeCell ref="C6:D6"/>
    <mergeCell ref="E6:G6"/>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FAA61-2B44-410E-85BC-0821DB1C9FC0}">
  <sheetPr codeName="Hoja12">
    <tabColor rgb="FF7AC77F"/>
  </sheetPr>
  <dimension ref="A1:E13"/>
  <sheetViews>
    <sheetView workbookViewId="0">
      <selection activeCell="G6" sqref="G6"/>
    </sheetView>
  </sheetViews>
  <sheetFormatPr baseColWidth="10" defaultRowHeight="15" x14ac:dyDescent="0.25"/>
  <cols>
    <col min="1" max="1" width="8.42578125" bestFit="1" customWidth="1"/>
    <col min="2" max="2" width="31.5703125" bestFit="1" customWidth="1"/>
    <col min="3" max="3" width="13.5703125" bestFit="1" customWidth="1"/>
    <col min="4" max="4" width="8" bestFit="1" customWidth="1"/>
    <col min="5" max="5" width="9" bestFit="1" customWidth="1"/>
    <col min="6" max="6" width="31.5703125" bestFit="1" customWidth="1"/>
  </cols>
  <sheetData>
    <row r="1" spans="1:5" x14ac:dyDescent="0.25">
      <c r="A1" t="s">
        <v>3718</v>
      </c>
      <c r="B1" t="s">
        <v>3720</v>
      </c>
      <c r="C1" t="s">
        <v>3820</v>
      </c>
      <c r="D1" t="s">
        <v>3780</v>
      </c>
      <c r="E1" t="s">
        <v>3821</v>
      </c>
    </row>
    <row r="2" spans="1:5" x14ac:dyDescent="0.25">
      <c r="A2" s="24">
        <v>45322</v>
      </c>
      <c r="B2" s="24" t="s">
        <v>3843</v>
      </c>
      <c r="C2" t="s">
        <v>3842</v>
      </c>
      <c r="D2">
        <v>0.31</v>
      </c>
      <c r="E2">
        <v>13113.04</v>
      </c>
    </row>
    <row r="3" spans="1:5" x14ac:dyDescent="0.25">
      <c r="A3" s="24">
        <v>45332</v>
      </c>
      <c r="B3" s="24" t="s">
        <v>3843</v>
      </c>
      <c r="C3" t="s">
        <v>3842</v>
      </c>
      <c r="D3">
        <v>0.1</v>
      </c>
      <c r="E3">
        <v>13113.14</v>
      </c>
    </row>
    <row r="4" spans="1:5" x14ac:dyDescent="0.25">
      <c r="A4" s="24">
        <v>45333</v>
      </c>
      <c r="B4" s="24" t="s">
        <v>3844</v>
      </c>
      <c r="C4" t="s">
        <v>3842</v>
      </c>
      <c r="D4">
        <v>28000</v>
      </c>
      <c r="E4">
        <v>41113.14</v>
      </c>
    </row>
    <row r="5" spans="1:5" x14ac:dyDescent="0.25">
      <c r="A5" s="24">
        <v>45335</v>
      </c>
      <c r="B5" s="24" t="s">
        <v>3843</v>
      </c>
      <c r="C5" t="s">
        <v>3842</v>
      </c>
      <c r="D5">
        <v>0.15</v>
      </c>
      <c r="E5">
        <v>41113.29</v>
      </c>
    </row>
    <row r="6" spans="1:5" x14ac:dyDescent="0.25">
      <c r="A6" s="24">
        <v>45336</v>
      </c>
      <c r="B6" s="24" t="s">
        <v>3845</v>
      </c>
      <c r="C6" t="s">
        <v>3842</v>
      </c>
      <c r="D6">
        <v>-7095</v>
      </c>
      <c r="E6">
        <v>34018.29</v>
      </c>
    </row>
    <row r="7" spans="1:5" x14ac:dyDescent="0.25">
      <c r="A7" s="24">
        <v>45343</v>
      </c>
      <c r="B7" s="24" t="s">
        <v>3843</v>
      </c>
      <c r="C7" t="s">
        <v>3842</v>
      </c>
      <c r="D7">
        <v>0.32</v>
      </c>
      <c r="E7">
        <v>34018.61</v>
      </c>
    </row>
    <row r="8" spans="1:5" x14ac:dyDescent="0.25">
      <c r="A8" s="24">
        <v>45344</v>
      </c>
      <c r="B8" s="24" t="s">
        <v>3846</v>
      </c>
      <c r="C8" t="s">
        <v>3842</v>
      </c>
      <c r="D8">
        <v>-20000</v>
      </c>
      <c r="E8">
        <v>14018.61</v>
      </c>
    </row>
    <row r="9" spans="1:5" x14ac:dyDescent="0.25">
      <c r="A9" s="24">
        <v>45344</v>
      </c>
      <c r="B9" s="24" t="s">
        <v>3847</v>
      </c>
      <c r="C9" t="s">
        <v>3842</v>
      </c>
      <c r="D9">
        <v>-2490</v>
      </c>
      <c r="E9">
        <v>11528.61</v>
      </c>
    </row>
    <row r="10" spans="1:5" x14ac:dyDescent="0.25">
      <c r="A10" s="24">
        <v>45351</v>
      </c>
      <c r="B10" s="24" t="s">
        <v>3843</v>
      </c>
      <c r="C10" t="s">
        <v>3842</v>
      </c>
      <c r="D10">
        <v>0.08</v>
      </c>
      <c r="E10">
        <v>11528.69</v>
      </c>
    </row>
    <row r="11" spans="1:5" x14ac:dyDescent="0.25">
      <c r="A11" s="24">
        <v>45365</v>
      </c>
      <c r="B11" s="24" t="s">
        <v>3843</v>
      </c>
      <c r="C11" t="s">
        <v>3842</v>
      </c>
      <c r="D11">
        <v>0.14000000000000001</v>
      </c>
      <c r="E11">
        <v>11528.83</v>
      </c>
    </row>
    <row r="12" spans="1:5" x14ac:dyDescent="0.25">
      <c r="A12" s="24">
        <v>45365</v>
      </c>
      <c r="B12" s="24" t="s">
        <v>3845</v>
      </c>
      <c r="C12" t="s">
        <v>3842</v>
      </c>
      <c r="D12">
        <v>-7095</v>
      </c>
      <c r="E12">
        <v>4433.83</v>
      </c>
    </row>
    <row r="13" spans="1:5" x14ac:dyDescent="0.25">
      <c r="A13" s="24">
        <v>45365</v>
      </c>
      <c r="B13" s="24" t="s">
        <v>3848</v>
      </c>
      <c r="C13" t="s">
        <v>3842</v>
      </c>
      <c r="D13">
        <v>-0.01</v>
      </c>
      <c r="E13">
        <v>4433.82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45" zoomScale="87" zoomScaleNormal="87" workbookViewId="0">
      <selection activeCell="E63" sqref="E63"/>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78" t="s">
        <v>3726</v>
      </c>
      <c r="C7" s="79"/>
      <c r="D7" s="77" t="s">
        <v>3732</v>
      </c>
      <c r="E7" s="77"/>
      <c r="F7" s="77"/>
    </row>
    <row r="8" spans="2:9" ht="20.25" x14ac:dyDescent="0.3">
      <c r="B8" s="87" t="s">
        <v>3728</v>
      </c>
      <c r="C8" s="87"/>
      <c r="D8" s="77">
        <v>900235498</v>
      </c>
      <c r="E8" s="77"/>
      <c r="F8" s="77"/>
    </row>
    <row r="9" spans="2:9" ht="20.25" x14ac:dyDescent="0.3">
      <c r="B9" s="87" t="s">
        <v>3730</v>
      </c>
      <c r="C9" s="87"/>
      <c r="D9" s="77" t="s">
        <v>3733</v>
      </c>
      <c r="E9" s="77"/>
      <c r="F9" s="77"/>
    </row>
    <row r="10" spans="2:9" ht="20.25" x14ac:dyDescent="0.3">
      <c r="B10" s="87" t="s">
        <v>3823</v>
      </c>
      <c r="C10" s="87"/>
      <c r="D10" s="77" t="s">
        <v>3824</v>
      </c>
      <c r="E10" s="77"/>
      <c r="F10" s="77"/>
    </row>
    <row r="11" spans="2:9" ht="20.25" x14ac:dyDescent="0.3">
      <c r="B11" s="25" t="s">
        <v>3836</v>
      </c>
      <c r="C11" s="26"/>
      <c r="D11" s="25" t="s">
        <v>3837</v>
      </c>
    </row>
    <row r="13" spans="2:9" ht="18.75" x14ac:dyDescent="0.25">
      <c r="B13" s="88" t="s">
        <v>3838</v>
      </c>
      <c r="C13" s="89"/>
      <c r="D13" s="89"/>
      <c r="E13" s="90"/>
    </row>
    <row r="14" spans="2:9" x14ac:dyDescent="0.25">
      <c r="B14" s="27" t="s">
        <v>3828</v>
      </c>
      <c r="C14" s="28">
        <v>10000000</v>
      </c>
      <c r="D14" s="29" t="s">
        <v>3829</v>
      </c>
      <c r="E14" s="30">
        <v>13791</v>
      </c>
    </row>
    <row r="15" spans="2:9" x14ac:dyDescent="0.25">
      <c r="B15" s="31" t="s">
        <v>3830</v>
      </c>
      <c r="C15" s="32">
        <v>28000</v>
      </c>
      <c r="D15" s="33" t="s">
        <v>3831</v>
      </c>
      <c r="E15" s="34">
        <v>0</v>
      </c>
      <c r="I15" s="4">
        <f>E20+F20</f>
        <v>10000000.620000001</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8" t="s">
        <v>3718</v>
      </c>
      <c r="C19" s="48" t="s">
        <v>3819</v>
      </c>
      <c r="D19" s="48" t="s">
        <v>3820</v>
      </c>
      <c r="E19" s="49" t="s">
        <v>3780</v>
      </c>
      <c r="F19" s="49" t="s">
        <v>3821</v>
      </c>
    </row>
    <row r="20" spans="2:6" x14ac:dyDescent="0.25">
      <c r="B20" s="43">
        <v>45383</v>
      </c>
      <c r="C20" s="44" t="s">
        <v>3843</v>
      </c>
      <c r="D20" s="45" t="s">
        <v>4013</v>
      </c>
      <c r="E20" s="46">
        <v>0.31</v>
      </c>
      <c r="F20" s="46">
        <v>10000000.310000001</v>
      </c>
    </row>
    <row r="21" spans="2:6" x14ac:dyDescent="0.25">
      <c r="B21" s="51">
        <v>45384</v>
      </c>
      <c r="C21" s="52" t="s">
        <v>3857</v>
      </c>
      <c r="D21" s="52" t="s">
        <v>3858</v>
      </c>
      <c r="E21" s="50">
        <v>3000000</v>
      </c>
      <c r="F21" s="50">
        <v>13000000.310000001</v>
      </c>
    </row>
    <row r="22" spans="2:6" x14ac:dyDescent="0.25">
      <c r="B22" s="43">
        <v>45384</v>
      </c>
      <c r="C22" s="44" t="s">
        <v>3843</v>
      </c>
      <c r="D22" s="45" t="s">
        <v>4013</v>
      </c>
      <c r="E22" s="46">
        <v>0.1</v>
      </c>
      <c r="F22" s="46">
        <v>13000000.41</v>
      </c>
    </row>
    <row r="23" spans="2:6" x14ac:dyDescent="0.25">
      <c r="B23" s="53">
        <v>45385</v>
      </c>
      <c r="C23" s="54" t="s">
        <v>3863</v>
      </c>
      <c r="D23" s="54" t="s">
        <v>3864</v>
      </c>
      <c r="E23" s="55">
        <v>5483250</v>
      </c>
      <c r="F23" s="55">
        <v>18483250.41</v>
      </c>
    </row>
    <row r="24" spans="2:6" x14ac:dyDescent="0.25">
      <c r="B24" s="43">
        <v>45385</v>
      </c>
      <c r="C24" s="44" t="s">
        <v>3844</v>
      </c>
      <c r="D24" s="45" t="s">
        <v>4019</v>
      </c>
      <c r="E24" s="46">
        <v>28000</v>
      </c>
      <c r="F24" s="46">
        <v>18511250.41</v>
      </c>
    </row>
    <row r="25" spans="2:6" x14ac:dyDescent="0.25">
      <c r="B25" s="53">
        <v>45385</v>
      </c>
      <c r="C25" s="54" t="s">
        <v>3851</v>
      </c>
      <c r="D25" s="54" t="s">
        <v>3867</v>
      </c>
      <c r="E25" s="55">
        <v>1780000</v>
      </c>
      <c r="F25" s="55">
        <v>20291250.41</v>
      </c>
    </row>
    <row r="26" spans="2:6" x14ac:dyDescent="0.25">
      <c r="B26" s="53">
        <v>45385</v>
      </c>
      <c r="C26" s="54" t="s">
        <v>3854</v>
      </c>
      <c r="D26" s="54" t="s">
        <v>3853</v>
      </c>
      <c r="E26" s="55">
        <v>-50530</v>
      </c>
      <c r="F26" s="55">
        <v>20240720.41</v>
      </c>
    </row>
    <row r="27" spans="2:6" x14ac:dyDescent="0.25">
      <c r="B27" s="53">
        <v>45386</v>
      </c>
      <c r="C27" s="54" t="s">
        <v>3855</v>
      </c>
      <c r="D27" s="54" t="s">
        <v>3856</v>
      </c>
      <c r="E27" s="55">
        <v>-5283000</v>
      </c>
      <c r="F27" s="55">
        <v>14957720.41</v>
      </c>
    </row>
    <row r="28" spans="2:6" x14ac:dyDescent="0.25">
      <c r="B28" s="43">
        <v>45386</v>
      </c>
      <c r="C28" s="44" t="s">
        <v>3843</v>
      </c>
      <c r="D28" s="45" t="s">
        <v>4013</v>
      </c>
      <c r="E28" s="46">
        <v>0.15</v>
      </c>
      <c r="F28" s="46">
        <v>14957720.560000001</v>
      </c>
    </row>
    <row r="29" spans="2:6" x14ac:dyDescent="0.25">
      <c r="B29" s="51">
        <v>45386</v>
      </c>
      <c r="C29" s="52" t="s">
        <v>3872</v>
      </c>
      <c r="D29" s="52" t="s">
        <v>3873</v>
      </c>
      <c r="E29" s="50">
        <v>780000</v>
      </c>
      <c r="F29" s="50">
        <v>15737720.560000001</v>
      </c>
    </row>
    <row r="30" spans="2:6" x14ac:dyDescent="0.25">
      <c r="B30" s="43">
        <v>45388</v>
      </c>
      <c r="C30" s="44" t="s">
        <v>3845</v>
      </c>
      <c r="D30" s="45" t="s">
        <v>3911</v>
      </c>
      <c r="E30" s="46">
        <v>-7095</v>
      </c>
      <c r="F30" s="46">
        <v>15730625.560000001</v>
      </c>
    </row>
    <row r="31" spans="2:6" x14ac:dyDescent="0.25">
      <c r="B31" s="53">
        <v>45388</v>
      </c>
      <c r="C31" s="54" t="s">
        <v>3882</v>
      </c>
      <c r="D31" s="54" t="s">
        <v>3883</v>
      </c>
      <c r="E31" s="55">
        <v>1965000</v>
      </c>
      <c r="F31" s="55">
        <v>17695625.559999999</v>
      </c>
    </row>
    <row r="32" spans="2:6" x14ac:dyDescent="0.25">
      <c r="B32" s="43">
        <v>45389</v>
      </c>
      <c r="C32" s="44" t="s">
        <v>3843</v>
      </c>
      <c r="D32" s="45" t="s">
        <v>4013</v>
      </c>
      <c r="E32" s="46">
        <v>0.32</v>
      </c>
      <c r="F32" s="46">
        <v>17695625.879999999</v>
      </c>
    </row>
    <row r="33" spans="2:6" x14ac:dyDescent="0.25">
      <c r="B33" s="43">
        <v>45389</v>
      </c>
      <c r="C33" s="44" t="s">
        <v>3846</v>
      </c>
      <c r="D33" s="45" t="s">
        <v>4018</v>
      </c>
      <c r="E33" s="46">
        <v>-20000</v>
      </c>
      <c r="F33" s="46">
        <v>17675625.879999999</v>
      </c>
    </row>
    <row r="34" spans="2:6" x14ac:dyDescent="0.25">
      <c r="B34" s="43">
        <v>45389</v>
      </c>
      <c r="C34" s="44" t="s">
        <v>3847</v>
      </c>
      <c r="D34" s="45" t="s">
        <v>3911</v>
      </c>
      <c r="E34" s="46">
        <v>-2490</v>
      </c>
      <c r="F34" s="46">
        <v>17673135.879999999</v>
      </c>
    </row>
    <row r="35" spans="2:6" x14ac:dyDescent="0.25">
      <c r="B35" s="43">
        <v>45392</v>
      </c>
      <c r="C35" s="44" t="s">
        <v>3843</v>
      </c>
      <c r="D35" s="45" t="s">
        <v>4013</v>
      </c>
      <c r="E35" s="46">
        <v>0.08</v>
      </c>
      <c r="F35" s="46">
        <v>17673135.960000001</v>
      </c>
    </row>
    <row r="36" spans="2:6" x14ac:dyDescent="0.25">
      <c r="B36" s="53">
        <v>45393</v>
      </c>
      <c r="C36" s="54" t="s">
        <v>3859</v>
      </c>
      <c r="D36" s="54" t="s">
        <v>3860</v>
      </c>
      <c r="E36" s="55">
        <v>-1600000</v>
      </c>
      <c r="F36" s="55">
        <v>16073135.960000001</v>
      </c>
    </row>
    <row r="37" spans="2:6" x14ac:dyDescent="0.25">
      <c r="B37" s="53">
        <v>45393</v>
      </c>
      <c r="C37" s="54" t="s">
        <v>3861</v>
      </c>
      <c r="D37" s="54" t="s">
        <v>3862</v>
      </c>
      <c r="E37" s="55">
        <v>-1600000</v>
      </c>
      <c r="F37" s="55">
        <v>14473135.960000001</v>
      </c>
    </row>
    <row r="38" spans="2:6" x14ac:dyDescent="0.25">
      <c r="B38" s="51">
        <v>45395</v>
      </c>
      <c r="C38" s="52" t="s">
        <v>3865</v>
      </c>
      <c r="D38" s="52" t="s">
        <v>3866</v>
      </c>
      <c r="E38" s="50">
        <v>-260000</v>
      </c>
      <c r="F38" s="50">
        <v>14213135.960000001</v>
      </c>
    </row>
    <row r="39" spans="2:6" x14ac:dyDescent="0.25">
      <c r="B39" s="53">
        <v>45395</v>
      </c>
      <c r="C39" s="54" t="s">
        <v>3868</v>
      </c>
      <c r="D39" s="54" t="s">
        <v>3869</v>
      </c>
      <c r="E39" s="55">
        <v>-238000</v>
      </c>
      <c r="F39" s="55">
        <v>13975135.960000001</v>
      </c>
    </row>
    <row r="40" spans="2:6" x14ac:dyDescent="0.25">
      <c r="B40" s="53">
        <v>45396</v>
      </c>
      <c r="C40" s="54" t="s">
        <v>3870</v>
      </c>
      <c r="D40" s="54" t="s">
        <v>3871</v>
      </c>
      <c r="E40" s="55">
        <v>-7000000</v>
      </c>
      <c r="F40" s="55">
        <v>6975135.96</v>
      </c>
    </row>
    <row r="41" spans="2:6" x14ac:dyDescent="0.25">
      <c r="B41" s="53">
        <v>45396</v>
      </c>
      <c r="C41" s="54" t="s">
        <v>3849</v>
      </c>
      <c r="D41" s="54" t="s">
        <v>3850</v>
      </c>
      <c r="E41" s="55">
        <v>2000000</v>
      </c>
      <c r="F41" s="55">
        <v>8975135.9600000009</v>
      </c>
    </row>
    <row r="42" spans="2:6" x14ac:dyDescent="0.25">
      <c r="B42" s="53">
        <v>45396</v>
      </c>
      <c r="C42" s="54" t="s">
        <v>3851</v>
      </c>
      <c r="D42" s="54" t="s">
        <v>3852</v>
      </c>
      <c r="E42" s="55">
        <v>430000</v>
      </c>
      <c r="F42" s="55">
        <v>9405135.9600000009</v>
      </c>
    </row>
    <row r="43" spans="2:6" x14ac:dyDescent="0.25">
      <c r="B43" s="53">
        <v>45397</v>
      </c>
      <c r="C43" s="54" t="s">
        <v>3889</v>
      </c>
      <c r="D43" s="54" t="s">
        <v>3890</v>
      </c>
      <c r="E43" s="55">
        <v>3800000</v>
      </c>
      <c r="F43" s="55">
        <v>13205135.960000001</v>
      </c>
    </row>
    <row r="44" spans="2:6" x14ac:dyDescent="0.25">
      <c r="B44" s="43">
        <v>45397</v>
      </c>
      <c r="C44" s="44" t="s">
        <v>3843</v>
      </c>
      <c r="D44" s="45" t="s">
        <v>4013</v>
      </c>
      <c r="E44" s="46">
        <v>0.14000000000000001</v>
      </c>
      <c r="F44" s="46">
        <v>13205136.1</v>
      </c>
    </row>
    <row r="45" spans="2:6" x14ac:dyDescent="0.25">
      <c r="B45" s="43">
        <v>45397</v>
      </c>
      <c r="C45" s="44" t="s">
        <v>3845</v>
      </c>
      <c r="D45" s="45" t="s">
        <v>3911</v>
      </c>
      <c r="E45" s="46">
        <v>-7095</v>
      </c>
      <c r="F45" s="46">
        <v>13198041.1</v>
      </c>
    </row>
    <row r="46" spans="2:6" x14ac:dyDescent="0.25">
      <c r="B46" s="53">
        <v>45398</v>
      </c>
      <c r="C46" s="54" t="s">
        <v>3876</v>
      </c>
      <c r="D46" s="54" t="s">
        <v>3877</v>
      </c>
      <c r="E46" s="55">
        <v>-45900</v>
      </c>
      <c r="F46" s="55">
        <v>13152141.1</v>
      </c>
    </row>
    <row r="47" spans="2:6" x14ac:dyDescent="0.25">
      <c r="B47" s="53">
        <v>45398</v>
      </c>
      <c r="C47" s="54" t="s">
        <v>3878</v>
      </c>
      <c r="D47" s="54" t="s">
        <v>3879</v>
      </c>
      <c r="E47" s="55">
        <v>-400000</v>
      </c>
      <c r="F47" s="55">
        <v>12752141.1</v>
      </c>
    </row>
    <row r="48" spans="2:6" x14ac:dyDescent="0.25">
      <c r="B48" s="53">
        <v>45399</v>
      </c>
      <c r="C48" s="54" t="s">
        <v>3880</v>
      </c>
      <c r="D48" s="54" t="s">
        <v>3881</v>
      </c>
      <c r="E48" s="55">
        <v>-170000</v>
      </c>
      <c r="F48" s="55">
        <v>12582141.1</v>
      </c>
    </row>
    <row r="49" spans="1:7" x14ac:dyDescent="0.25">
      <c r="B49" s="53">
        <v>45399</v>
      </c>
      <c r="C49" s="54" t="s">
        <v>3885</v>
      </c>
      <c r="D49" s="54" t="s">
        <v>3886</v>
      </c>
      <c r="E49" s="55">
        <v>-4500000</v>
      </c>
      <c r="F49" s="55">
        <v>8082141.0999999996</v>
      </c>
    </row>
    <row r="50" spans="1:7" x14ac:dyDescent="0.25">
      <c r="B50" s="43">
        <v>45400</v>
      </c>
      <c r="C50" s="44" t="s">
        <v>3848</v>
      </c>
      <c r="D50" s="45" t="s">
        <v>3911</v>
      </c>
      <c r="E50" s="46">
        <v>-0.01</v>
      </c>
      <c r="F50" s="46">
        <v>8082141.0899999999</v>
      </c>
    </row>
    <row r="51" spans="1:7" x14ac:dyDescent="0.25">
      <c r="B51" s="53">
        <v>45400</v>
      </c>
      <c r="C51" s="54" t="s">
        <v>3905</v>
      </c>
      <c r="D51" s="54" t="s">
        <v>3906</v>
      </c>
      <c r="E51" s="55">
        <v>450000</v>
      </c>
      <c r="F51" s="55">
        <v>8532141.0899999999</v>
      </c>
    </row>
    <row r="52" spans="1:7" x14ac:dyDescent="0.25">
      <c r="B52" s="53">
        <v>45401</v>
      </c>
      <c r="C52" s="54" t="s">
        <v>3872</v>
      </c>
      <c r="D52" s="54" t="s">
        <v>3907</v>
      </c>
      <c r="E52" s="55">
        <v>1200000</v>
      </c>
      <c r="F52" s="55">
        <v>9732141.0899999999</v>
      </c>
    </row>
    <row r="53" spans="1:7" x14ac:dyDescent="0.25">
      <c r="B53" s="53">
        <v>45402</v>
      </c>
      <c r="C53" s="54" t="s">
        <v>3893</v>
      </c>
      <c r="D53" s="54" t="s">
        <v>3894</v>
      </c>
      <c r="E53" s="55">
        <v>-100000</v>
      </c>
      <c r="F53" s="55">
        <v>9632141.0899999999</v>
      </c>
    </row>
    <row r="54" spans="1:7" x14ac:dyDescent="0.25">
      <c r="B54" s="53">
        <v>45403</v>
      </c>
      <c r="C54" s="54" t="s">
        <v>3895</v>
      </c>
      <c r="D54" s="54" t="s">
        <v>3896</v>
      </c>
      <c r="E54" s="55">
        <v>-1300000</v>
      </c>
      <c r="F54" s="55">
        <v>8332141.0899999999</v>
      </c>
    </row>
    <row r="55" spans="1:7" x14ac:dyDescent="0.25">
      <c r="B55" s="53">
        <v>45404</v>
      </c>
      <c r="C55" s="54" t="s">
        <v>3897</v>
      </c>
      <c r="D55" s="54" t="s">
        <v>3898</v>
      </c>
      <c r="E55" s="55">
        <v>-400000</v>
      </c>
      <c r="F55" s="55">
        <v>7932141.0899999999</v>
      </c>
    </row>
    <row r="56" spans="1:7" x14ac:dyDescent="0.25">
      <c r="B56" s="53">
        <v>45404</v>
      </c>
      <c r="C56" s="54" t="s">
        <v>3901</v>
      </c>
      <c r="D56" s="54" t="s">
        <v>3902</v>
      </c>
      <c r="E56" s="55">
        <v>-250000</v>
      </c>
      <c r="F56" s="55">
        <v>7682141.0899999999</v>
      </c>
    </row>
    <row r="57" spans="1:7" x14ac:dyDescent="0.25">
      <c r="B57" s="53">
        <v>45405</v>
      </c>
      <c r="C57" s="54" t="s">
        <v>3903</v>
      </c>
      <c r="D57" s="54" t="s">
        <v>3904</v>
      </c>
      <c r="E57" s="55">
        <v>-30000</v>
      </c>
      <c r="F57" s="55">
        <v>7652141.0899999999</v>
      </c>
      <c r="G57" s="4"/>
    </row>
    <row r="58" spans="1:7" x14ac:dyDescent="0.25">
      <c r="B58" s="43">
        <v>45406</v>
      </c>
      <c r="C58" s="44" t="s">
        <v>3872</v>
      </c>
      <c r="D58" s="45" t="s">
        <v>3908</v>
      </c>
      <c r="E58" s="46">
        <v>1800000</v>
      </c>
      <c r="F58" s="46">
        <v>9452141.0899999999</v>
      </c>
    </row>
    <row r="59" spans="1:7" x14ac:dyDescent="0.25">
      <c r="B59" s="43">
        <v>45407</v>
      </c>
      <c r="C59" s="44" t="s">
        <v>3909</v>
      </c>
      <c r="D59" s="45" t="s">
        <v>3910</v>
      </c>
      <c r="E59" s="46">
        <v>2000000</v>
      </c>
      <c r="F59" s="46">
        <v>11452141.09</v>
      </c>
    </row>
    <row r="60" spans="1:7" x14ac:dyDescent="0.25">
      <c r="B60" s="47" t="s">
        <v>4</v>
      </c>
      <c r="C60" s="47"/>
      <c r="D60" s="48"/>
      <c r="E60" s="49">
        <f>SUBTOTAL(109,tbl_extracto[Valor])</f>
        <v>1452141.0900000008</v>
      </c>
      <c r="F60" s="49"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7" workbookViewId="0">
      <selection activeCell="H32" sqref="H32"/>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6" t="s">
        <v>3822</v>
      </c>
      <c r="D2" s="86"/>
      <c r="E2" s="86"/>
      <c r="F2" s="86"/>
      <c r="G2" s="86"/>
    </row>
    <row r="3" spans="2:7" ht="20.25" x14ac:dyDescent="0.3">
      <c r="C3" s="78" t="s">
        <v>3726</v>
      </c>
      <c r="D3" s="79"/>
      <c r="E3" s="83" t="s">
        <v>3732</v>
      </c>
      <c r="F3" s="84"/>
      <c r="G3" s="85"/>
    </row>
    <row r="4" spans="2:7" ht="20.25" x14ac:dyDescent="0.3">
      <c r="C4" s="78" t="s">
        <v>3728</v>
      </c>
      <c r="D4" s="79"/>
      <c r="E4" s="83">
        <v>900235498</v>
      </c>
      <c r="F4" s="84"/>
      <c r="G4" s="85"/>
    </row>
    <row r="5" spans="2:7" ht="20.25" x14ac:dyDescent="0.3">
      <c r="C5" s="78" t="s">
        <v>3730</v>
      </c>
      <c r="D5" s="79"/>
      <c r="E5" s="83" t="s">
        <v>3733</v>
      </c>
      <c r="F5" s="84"/>
      <c r="G5" s="85"/>
    </row>
    <row r="6" spans="2:7" ht="20.25" x14ac:dyDescent="0.3">
      <c r="C6" s="78" t="s">
        <v>3823</v>
      </c>
      <c r="D6" s="79"/>
      <c r="E6" s="83" t="s">
        <v>3824</v>
      </c>
      <c r="F6" s="84"/>
      <c r="G6" s="85"/>
    </row>
    <row r="9" spans="2:7" x14ac:dyDescent="0.25">
      <c r="B9" t="s">
        <v>3718</v>
      </c>
      <c r="C9" t="s">
        <v>3819</v>
      </c>
      <c r="D9" t="s">
        <v>3820</v>
      </c>
      <c r="E9" t="s">
        <v>3912</v>
      </c>
      <c r="F9" t="s">
        <v>3913</v>
      </c>
      <c r="G9" s="4" t="s">
        <v>3914</v>
      </c>
    </row>
    <row r="10" spans="2:7" x14ac:dyDescent="0.25">
      <c r="B10" s="5">
        <v>45383</v>
      </c>
      <c r="C10" t="s">
        <v>3843</v>
      </c>
      <c r="D10" t="s">
        <v>4013</v>
      </c>
      <c r="F10" s="13">
        <v>0.31</v>
      </c>
      <c r="G10" s="13">
        <v>-0.31</v>
      </c>
    </row>
    <row r="11" spans="2:7" x14ac:dyDescent="0.25">
      <c r="B11" s="5">
        <v>45384</v>
      </c>
      <c r="C11" t="s">
        <v>3843</v>
      </c>
      <c r="D11" t="s">
        <v>4013</v>
      </c>
      <c r="F11" s="13">
        <v>0.1</v>
      </c>
      <c r="G11" s="13">
        <v>-0.1</v>
      </c>
    </row>
    <row r="12" spans="2:7" x14ac:dyDescent="0.25">
      <c r="B12" s="5">
        <v>45385</v>
      </c>
      <c r="C12" t="s">
        <v>3844</v>
      </c>
      <c r="D12" t="s">
        <v>4019</v>
      </c>
      <c r="F12" s="13">
        <v>28000</v>
      </c>
      <c r="G12" s="13">
        <v>-28000</v>
      </c>
    </row>
    <row r="13" spans="2:7" x14ac:dyDescent="0.25">
      <c r="B13" s="5">
        <v>45386</v>
      </c>
      <c r="C13" t="s">
        <v>3843</v>
      </c>
      <c r="D13" t="s">
        <v>4013</v>
      </c>
      <c r="F13" s="13">
        <v>0.15</v>
      </c>
      <c r="G13" s="13">
        <v>-0.15</v>
      </c>
    </row>
    <row r="14" spans="2:7" x14ac:dyDescent="0.25">
      <c r="B14" s="5">
        <v>45388</v>
      </c>
      <c r="C14" t="s">
        <v>3845</v>
      </c>
      <c r="D14" t="s">
        <v>3911</v>
      </c>
      <c r="F14" s="13">
        <v>-7095</v>
      </c>
      <c r="G14" s="13">
        <v>-7095</v>
      </c>
    </row>
    <row r="15" spans="2:7" x14ac:dyDescent="0.25">
      <c r="B15" s="5">
        <v>45389</v>
      </c>
      <c r="C15" t="s">
        <v>3843</v>
      </c>
      <c r="D15" t="s">
        <v>4013</v>
      </c>
      <c r="F15" s="13">
        <v>0.32</v>
      </c>
      <c r="G15" s="13">
        <v>-0.32</v>
      </c>
    </row>
    <row r="16" spans="2:7" x14ac:dyDescent="0.25">
      <c r="B16" s="5">
        <v>45389</v>
      </c>
      <c r="C16" t="s">
        <v>3846</v>
      </c>
      <c r="D16" t="s">
        <v>4018</v>
      </c>
      <c r="F16" s="13">
        <v>-20000</v>
      </c>
      <c r="G16" s="13">
        <v>-20000</v>
      </c>
    </row>
    <row r="17" spans="2:7" x14ac:dyDescent="0.25">
      <c r="B17" s="5">
        <v>45389</v>
      </c>
      <c r="C17" t="s">
        <v>3847</v>
      </c>
      <c r="D17" t="s">
        <v>3911</v>
      </c>
      <c r="F17" s="13">
        <v>-2490</v>
      </c>
      <c r="G17" s="13">
        <v>-2490</v>
      </c>
    </row>
    <row r="18" spans="2:7" x14ac:dyDescent="0.25">
      <c r="B18" s="5">
        <v>45392</v>
      </c>
      <c r="C18" t="s">
        <v>3843</v>
      </c>
      <c r="D18" t="s">
        <v>4013</v>
      </c>
      <c r="F18" s="13">
        <v>0.08</v>
      </c>
      <c r="G18" s="13">
        <v>-0.08</v>
      </c>
    </row>
    <row r="19" spans="2:7" x14ac:dyDescent="0.25">
      <c r="B19" s="5">
        <v>45397</v>
      </c>
      <c r="C19" t="s">
        <v>3843</v>
      </c>
      <c r="D19" t="s">
        <v>4013</v>
      </c>
      <c r="F19" s="13">
        <v>0.14000000000000001</v>
      </c>
      <c r="G19" s="13">
        <v>-0.14000000000000001</v>
      </c>
    </row>
    <row r="20" spans="2:7" x14ac:dyDescent="0.25">
      <c r="B20" s="5">
        <v>45397</v>
      </c>
      <c r="C20" t="s">
        <v>3845</v>
      </c>
      <c r="D20" t="s">
        <v>3911</v>
      </c>
      <c r="F20" s="13">
        <v>-7095</v>
      </c>
      <c r="G20" s="13">
        <v>-7095</v>
      </c>
    </row>
    <row r="21" spans="2:7" x14ac:dyDescent="0.25">
      <c r="B21" s="5">
        <v>45400</v>
      </c>
      <c r="C21" t="s">
        <v>3848</v>
      </c>
      <c r="D21" t="s">
        <v>3911</v>
      </c>
      <c r="F21" s="13">
        <v>-0.01</v>
      </c>
      <c r="G21" s="13">
        <v>-0.01</v>
      </c>
    </row>
    <row r="22" spans="2:7" x14ac:dyDescent="0.25">
      <c r="B22" s="5">
        <v>45406</v>
      </c>
      <c r="C22" t="s">
        <v>3872</v>
      </c>
      <c r="D22" t="s">
        <v>3908</v>
      </c>
      <c r="F22" s="13">
        <v>1800000</v>
      </c>
      <c r="G22" s="13">
        <v>-1800000</v>
      </c>
    </row>
    <row r="23" spans="2:7" x14ac:dyDescent="0.25">
      <c r="B23" s="5">
        <v>45407</v>
      </c>
      <c r="C23" t="s">
        <v>3909</v>
      </c>
      <c r="D23" t="s">
        <v>3910</v>
      </c>
      <c r="F23" s="13">
        <v>2000000</v>
      </c>
      <c r="G23" s="13">
        <v>-2000000</v>
      </c>
    </row>
    <row r="24" spans="2:7" x14ac:dyDescent="0.25">
      <c r="B24" s="5">
        <v>45387</v>
      </c>
      <c r="C24" t="s">
        <v>3874</v>
      </c>
      <c r="D24" t="s">
        <v>3875</v>
      </c>
      <c r="E24" s="13">
        <v>980000</v>
      </c>
      <c r="F24" s="13"/>
      <c r="G24" s="13">
        <v>980000</v>
      </c>
    </row>
    <row r="25" spans="2:7" x14ac:dyDescent="0.25">
      <c r="B25" s="5">
        <v>45388</v>
      </c>
      <c r="C25" t="s">
        <v>3851</v>
      </c>
      <c r="D25" t="s">
        <v>3884</v>
      </c>
      <c r="E25" s="13">
        <v>250000</v>
      </c>
      <c r="F25" s="13"/>
      <c r="G25" s="13">
        <v>250000</v>
      </c>
    </row>
    <row r="26" spans="2:7" x14ac:dyDescent="0.25">
      <c r="B26" s="5">
        <v>45388</v>
      </c>
      <c r="C26" t="s">
        <v>3887</v>
      </c>
      <c r="D26" t="s">
        <v>3888</v>
      </c>
      <c r="E26" s="13">
        <v>2300000</v>
      </c>
      <c r="F26" s="13"/>
      <c r="G26" s="13">
        <v>2300000</v>
      </c>
    </row>
    <row r="27" spans="2:7" x14ac:dyDescent="0.25">
      <c r="B27" s="5">
        <v>45389</v>
      </c>
      <c r="C27" t="s">
        <v>3891</v>
      </c>
      <c r="D27" t="s">
        <v>3892</v>
      </c>
      <c r="E27" s="13">
        <v>270000</v>
      </c>
      <c r="F27" s="13"/>
      <c r="G27" s="13">
        <v>270000</v>
      </c>
    </row>
    <row r="28" spans="2:7" x14ac:dyDescent="0.25">
      <c r="B28" s="5">
        <v>45391</v>
      </c>
      <c r="C28" t="s">
        <v>3899</v>
      </c>
      <c r="D28" t="s">
        <v>3900</v>
      </c>
      <c r="E28" s="13">
        <v>1200000</v>
      </c>
      <c r="F28" s="13"/>
      <c r="G28" s="13">
        <v>1200000</v>
      </c>
    </row>
    <row r="29" spans="2:7" x14ac:dyDescent="0.25">
      <c r="B29" s="5">
        <v>45384</v>
      </c>
      <c r="C29" t="s">
        <v>3857</v>
      </c>
      <c r="D29" t="s">
        <v>3858</v>
      </c>
      <c r="E29" s="13">
        <v>3500000</v>
      </c>
      <c r="F29" s="13">
        <v>3000000</v>
      </c>
      <c r="G29" s="13">
        <v>500000</v>
      </c>
    </row>
    <row r="30" spans="2:7" x14ac:dyDescent="0.25">
      <c r="B30" s="5">
        <v>45386</v>
      </c>
      <c r="C30" t="s">
        <v>3872</v>
      </c>
      <c r="D30" t="s">
        <v>3873</v>
      </c>
      <c r="E30" s="13">
        <v>750000</v>
      </c>
      <c r="F30" s="13">
        <v>780000</v>
      </c>
      <c r="G30" s="13">
        <v>-30000</v>
      </c>
    </row>
    <row r="31" spans="2:7" x14ac:dyDescent="0.25">
      <c r="B31" s="5">
        <v>45385</v>
      </c>
      <c r="C31" t="s">
        <v>3865</v>
      </c>
      <c r="D31" t="s">
        <v>3866</v>
      </c>
      <c r="E31" s="13">
        <v>360000</v>
      </c>
      <c r="F31" s="13">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abSelected="1" topLeftCell="D57" zoomScale="92" workbookViewId="0">
      <selection activeCell="J76" sqref="J76"/>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9" max="19" width="59.5703125" bestFit="1" customWidth="1"/>
  </cols>
  <sheetData>
    <row r="1" spans="3:19" ht="26.25" x14ac:dyDescent="0.4">
      <c r="C1" s="86" t="s">
        <v>3822</v>
      </c>
      <c r="D1" s="86"/>
      <c r="E1" s="86"/>
      <c r="F1" s="86"/>
      <c r="G1" s="86"/>
    </row>
    <row r="2" spans="3:19" ht="20.25" x14ac:dyDescent="0.3">
      <c r="C2" s="78" t="s">
        <v>3726</v>
      </c>
      <c r="D2" s="79"/>
      <c r="E2" s="83" t="s">
        <v>3732</v>
      </c>
      <c r="F2" s="84"/>
      <c r="G2" s="85"/>
    </row>
    <row r="3" spans="3:19" ht="20.25" x14ac:dyDescent="0.3">
      <c r="C3" s="78" t="s">
        <v>3728</v>
      </c>
      <c r="D3" s="79"/>
      <c r="E3" s="83">
        <v>900235498</v>
      </c>
      <c r="F3" s="84"/>
      <c r="G3" s="85"/>
    </row>
    <row r="4" spans="3:19" ht="20.25" x14ac:dyDescent="0.3">
      <c r="C4" s="78" t="s">
        <v>3730</v>
      </c>
      <c r="D4" s="79"/>
      <c r="E4" s="83" t="s">
        <v>3733</v>
      </c>
      <c r="F4" s="84"/>
      <c r="G4" s="85"/>
    </row>
    <row r="5" spans="3:19" ht="20.25" x14ac:dyDescent="0.3">
      <c r="C5" s="78" t="s">
        <v>3823</v>
      </c>
      <c r="D5" s="79"/>
      <c r="E5" s="83" t="s">
        <v>3824</v>
      </c>
      <c r="F5" s="84"/>
      <c r="G5" s="85"/>
    </row>
    <row r="6" spans="3:19" ht="20.25" x14ac:dyDescent="0.3">
      <c r="C6" s="78" t="s">
        <v>3825</v>
      </c>
      <c r="D6" s="79"/>
      <c r="E6" s="83" t="s">
        <v>3826</v>
      </c>
      <c r="F6" s="84"/>
      <c r="G6" s="85"/>
    </row>
    <row r="7" spans="3:19" ht="20.25" x14ac:dyDescent="0.3">
      <c r="C7" s="78" t="s">
        <v>3989</v>
      </c>
      <c r="D7" s="79"/>
      <c r="E7" s="80">
        <f>tbl_libro_auxiliar_bancos[[#Totals],[Saldo]]</f>
        <v>8430820</v>
      </c>
      <c r="F7" s="81"/>
      <c r="G7" s="82"/>
    </row>
    <row r="8" spans="3:19" ht="20.25" x14ac:dyDescent="0.3">
      <c r="C8" s="78" t="s">
        <v>3990</v>
      </c>
      <c r="D8" s="79"/>
      <c r="E8" s="80">
        <f>'Extracto Cta Bancolombia'!F60</f>
        <v>11452141.09</v>
      </c>
      <c r="F8" s="81"/>
      <c r="G8" s="82"/>
    </row>
    <row r="11" spans="3:19" x14ac:dyDescent="0.25">
      <c r="N11" t="s">
        <v>3991</v>
      </c>
      <c r="O11" t="s">
        <v>3947</v>
      </c>
      <c r="P11" t="s">
        <v>3948</v>
      </c>
      <c r="Q11" t="s">
        <v>3949</v>
      </c>
      <c r="R11" t="s">
        <v>3950</v>
      </c>
      <c r="S11" s="4" t="s">
        <v>3951</v>
      </c>
    </row>
    <row r="12" spans="3:19" x14ac:dyDescent="0.25">
      <c r="N12" t="s">
        <v>4003</v>
      </c>
      <c r="O12" t="s">
        <v>3992</v>
      </c>
      <c r="P12" t="s">
        <v>3993</v>
      </c>
      <c r="Q12" t="s">
        <v>3994</v>
      </c>
      <c r="R12" t="s">
        <v>3780</v>
      </c>
      <c r="S12" s="4" t="s">
        <v>4004</v>
      </c>
    </row>
    <row r="13" spans="3:19" x14ac:dyDescent="0.25">
      <c r="C13" s="94" t="s">
        <v>4022</v>
      </c>
      <c r="D13" s="94"/>
      <c r="E13" s="94"/>
      <c r="G13" s="94" t="s">
        <v>4055</v>
      </c>
      <c r="H13" s="94"/>
      <c r="I13" s="94"/>
      <c r="N13" t="s">
        <v>4003</v>
      </c>
      <c r="O13" t="s">
        <v>3995</v>
      </c>
      <c r="P13" t="s">
        <v>3993</v>
      </c>
      <c r="Q13" t="s">
        <v>3996</v>
      </c>
      <c r="R13" t="s">
        <v>3780</v>
      </c>
      <c r="S13" s="4" t="s">
        <v>4005</v>
      </c>
    </row>
    <row r="14" spans="3:19" x14ac:dyDescent="0.25">
      <c r="C14" t="s">
        <v>3819</v>
      </c>
      <c r="D14" t="s">
        <v>3820</v>
      </c>
      <c r="E14" s="4" t="s">
        <v>3780</v>
      </c>
      <c r="G14" t="s">
        <v>3819</v>
      </c>
      <c r="H14" t="s">
        <v>3820</v>
      </c>
      <c r="I14" s="4" t="s">
        <v>3780</v>
      </c>
      <c r="N14" t="s">
        <v>4003</v>
      </c>
      <c r="O14" t="s">
        <v>3997</v>
      </c>
      <c r="P14" t="s">
        <v>3993</v>
      </c>
      <c r="Q14" t="s">
        <v>3999</v>
      </c>
      <c r="R14" t="s">
        <v>3780</v>
      </c>
      <c r="S14" s="4" t="s">
        <v>4006</v>
      </c>
    </row>
    <row r="15" spans="3:19" x14ac:dyDescent="0.25">
      <c r="C15" s="47" t="s">
        <v>3845</v>
      </c>
      <c r="D15" s="48" t="s">
        <v>3911</v>
      </c>
      <c r="E15" s="59">
        <v>7095</v>
      </c>
      <c r="G15" t="s">
        <v>3845</v>
      </c>
      <c r="H15" t="s">
        <v>3911</v>
      </c>
      <c r="I15" s="13">
        <v>7095</v>
      </c>
      <c r="N15" t="s">
        <v>4003</v>
      </c>
      <c r="O15" t="s">
        <v>3998</v>
      </c>
      <c r="P15" t="s">
        <v>3993</v>
      </c>
      <c r="Q15" t="s">
        <v>4000</v>
      </c>
      <c r="R15" t="s">
        <v>3780</v>
      </c>
      <c r="S15" s="4" t="s">
        <v>4007</v>
      </c>
    </row>
    <row r="16" spans="3:19" x14ac:dyDescent="0.25">
      <c r="C16" s="47" t="s">
        <v>3846</v>
      </c>
      <c r="D16" s="48" t="s">
        <v>4018</v>
      </c>
      <c r="E16" s="59">
        <v>20000</v>
      </c>
      <c r="G16" t="s">
        <v>3846</v>
      </c>
      <c r="H16" t="s">
        <v>4018</v>
      </c>
      <c r="I16" s="13">
        <v>20000</v>
      </c>
      <c r="N16" t="s">
        <v>4003</v>
      </c>
      <c r="O16" t="s">
        <v>4001</v>
      </c>
      <c r="P16" t="s">
        <v>3993</v>
      </c>
      <c r="Q16" t="s">
        <v>4002</v>
      </c>
      <c r="R16" t="s">
        <v>3780</v>
      </c>
      <c r="S16" s="4" t="s">
        <v>4008</v>
      </c>
    </row>
    <row r="17" spans="3:19" x14ac:dyDescent="0.25">
      <c r="C17" s="47" t="s">
        <v>3847</v>
      </c>
      <c r="D17" s="48" t="s">
        <v>3911</v>
      </c>
      <c r="E17" s="59">
        <v>2490</v>
      </c>
      <c r="G17" t="s">
        <v>3847</v>
      </c>
      <c r="H17" t="s">
        <v>3911</v>
      </c>
      <c r="I17" s="13">
        <v>2490</v>
      </c>
      <c r="N17" t="s">
        <v>4003</v>
      </c>
      <c r="O17" t="s">
        <v>4009</v>
      </c>
      <c r="P17" t="s">
        <v>3993</v>
      </c>
      <c r="Q17" t="s">
        <v>4010</v>
      </c>
      <c r="R17" t="s">
        <v>3780</v>
      </c>
      <c r="S17" s="4" t="s">
        <v>4011</v>
      </c>
    </row>
    <row r="18" spans="3:19" x14ac:dyDescent="0.25">
      <c r="C18" s="47" t="s">
        <v>3845</v>
      </c>
      <c r="D18" s="48" t="s">
        <v>3911</v>
      </c>
      <c r="E18" s="59">
        <v>7095</v>
      </c>
      <c r="G18" t="s">
        <v>3845</v>
      </c>
      <c r="H18" t="s">
        <v>3911</v>
      </c>
      <c r="I18" s="13">
        <v>7095</v>
      </c>
      <c r="N18" t="s">
        <v>4003</v>
      </c>
      <c r="O18" t="s">
        <v>4014</v>
      </c>
      <c r="P18" t="s">
        <v>3993</v>
      </c>
      <c r="Q18" t="s">
        <v>4016</v>
      </c>
      <c r="R18" t="s">
        <v>3780</v>
      </c>
      <c r="S18" s="4" t="s">
        <v>4020</v>
      </c>
    </row>
    <row r="19" spans="3:19" x14ac:dyDescent="0.25">
      <c r="C19" s="47" t="s">
        <v>3848</v>
      </c>
      <c r="D19" s="48" t="s">
        <v>3911</v>
      </c>
      <c r="E19" s="59">
        <v>0.01</v>
      </c>
      <c r="G19" t="s">
        <v>3848</v>
      </c>
      <c r="H19" t="s">
        <v>3911</v>
      </c>
      <c r="I19" s="13">
        <v>0.01</v>
      </c>
      <c r="N19" s="48" t="s">
        <v>4003</v>
      </c>
      <c r="O19" s="48" t="s">
        <v>4015</v>
      </c>
      <c r="P19" s="48" t="s">
        <v>3993</v>
      </c>
      <c r="Q19" s="48" t="s">
        <v>4017</v>
      </c>
      <c r="R19" s="48" t="s">
        <v>3780</v>
      </c>
      <c r="S19" s="49" t="s">
        <v>4021</v>
      </c>
    </row>
    <row r="20" spans="3:19" x14ac:dyDescent="0.25">
      <c r="C20" s="47" t="s">
        <v>4</v>
      </c>
      <c r="D20" s="48"/>
      <c r="E20" s="49">
        <f>SUBTOTAL(109,tbl_conciliacion_bancaria_2[Valor])</f>
        <v>36680.01</v>
      </c>
      <c r="G20" t="s">
        <v>4</v>
      </c>
      <c r="I20" s="4">
        <f>SUBTOTAL(109,tbl_conciliacion_bancaria_10[Valor])</f>
        <v>36680.01</v>
      </c>
      <c r="N20" s="57" t="s">
        <v>4038</v>
      </c>
      <c r="O20" s="57" t="s">
        <v>4030</v>
      </c>
      <c r="P20" s="57" t="s">
        <v>3993</v>
      </c>
      <c r="Q20" s="57" t="s">
        <v>4039</v>
      </c>
      <c r="R20" s="57" t="s">
        <v>3780</v>
      </c>
      <c r="S20" s="58" t="s">
        <v>4047</v>
      </c>
    </row>
    <row r="21" spans="3:19" x14ac:dyDescent="0.25">
      <c r="N21" s="57" t="s">
        <v>4038</v>
      </c>
      <c r="O21" s="57" t="s">
        <v>4031</v>
      </c>
      <c r="P21" s="57" t="s">
        <v>3993</v>
      </c>
      <c r="Q21" s="57" t="s">
        <v>4040</v>
      </c>
      <c r="R21" s="57" t="s">
        <v>3780</v>
      </c>
      <c r="S21" s="58" t="s">
        <v>4048</v>
      </c>
    </row>
    <row r="22" spans="3:19" x14ac:dyDescent="0.25">
      <c r="N22" s="57" t="s">
        <v>4038</v>
      </c>
      <c r="O22" s="57" t="s">
        <v>4032</v>
      </c>
      <c r="P22" s="57" t="s">
        <v>3993</v>
      </c>
      <c r="Q22" s="57" t="s">
        <v>4041</v>
      </c>
      <c r="R22" s="57" t="s">
        <v>3780</v>
      </c>
      <c r="S22" s="58" t="s">
        <v>4049</v>
      </c>
    </row>
    <row r="23" spans="3:19" x14ac:dyDescent="0.25">
      <c r="C23" s="95" t="s">
        <v>4023</v>
      </c>
      <c r="D23" s="95"/>
      <c r="E23" s="95"/>
      <c r="G23" s="95" t="s">
        <v>4056</v>
      </c>
      <c r="H23" s="95"/>
      <c r="I23" s="95"/>
      <c r="N23" s="57" t="s">
        <v>4038</v>
      </c>
      <c r="O23" s="57" t="s">
        <v>4033</v>
      </c>
      <c r="P23" s="57" t="s">
        <v>3993</v>
      </c>
      <c r="Q23" s="57" t="s">
        <v>4042</v>
      </c>
      <c r="R23" s="57" t="s">
        <v>3780</v>
      </c>
      <c r="S23" s="58" t="s">
        <v>4050</v>
      </c>
    </row>
    <row r="24" spans="3:19" x14ac:dyDescent="0.25">
      <c r="C24" t="s">
        <v>3819</v>
      </c>
      <c r="D24" t="s">
        <v>3820</v>
      </c>
      <c r="E24" s="4" t="s">
        <v>3780</v>
      </c>
      <c r="G24" t="s">
        <v>3819</v>
      </c>
      <c r="H24" t="s">
        <v>3820</v>
      </c>
      <c r="I24" s="4" t="s">
        <v>3780</v>
      </c>
      <c r="N24" s="57" t="s">
        <v>4038</v>
      </c>
      <c r="O24" s="57" t="s">
        <v>4034</v>
      </c>
      <c r="P24" s="57" t="s">
        <v>3993</v>
      </c>
      <c r="Q24" s="57" t="s">
        <v>4043</v>
      </c>
      <c r="R24" s="57" t="s">
        <v>3780</v>
      </c>
      <c r="S24" s="58" t="s">
        <v>4008</v>
      </c>
    </row>
    <row r="25" spans="3:19" x14ac:dyDescent="0.25">
      <c r="C25" s="62" t="s">
        <v>3874</v>
      </c>
      <c r="D25" s="63" t="s">
        <v>3875</v>
      </c>
      <c r="E25" s="65">
        <v>980000</v>
      </c>
      <c r="G25" t="s">
        <v>3874</v>
      </c>
      <c r="H25" t="s">
        <v>3875</v>
      </c>
      <c r="I25" s="13">
        <v>980000</v>
      </c>
      <c r="N25" s="57" t="s">
        <v>4038</v>
      </c>
      <c r="O25" s="57" t="s">
        <v>4035</v>
      </c>
      <c r="P25" s="57" t="s">
        <v>3993</v>
      </c>
      <c r="Q25" s="57" t="s">
        <v>4044</v>
      </c>
      <c r="R25" s="57" t="s">
        <v>3780</v>
      </c>
      <c r="S25" s="58" t="s">
        <v>4051</v>
      </c>
    </row>
    <row r="26" spans="3:19" x14ac:dyDescent="0.25">
      <c r="C26" s="62" t="s">
        <v>3851</v>
      </c>
      <c r="D26" s="63" t="s">
        <v>3884</v>
      </c>
      <c r="E26" s="65">
        <v>250000</v>
      </c>
      <c r="G26" t="s">
        <v>3851</v>
      </c>
      <c r="H26" t="s">
        <v>3884</v>
      </c>
      <c r="I26" s="13">
        <v>250000</v>
      </c>
      <c r="N26" s="57" t="s">
        <v>4038</v>
      </c>
      <c r="O26" s="57" t="s">
        <v>4036</v>
      </c>
      <c r="P26" s="57" t="s">
        <v>3993</v>
      </c>
      <c r="Q26" s="57" t="s">
        <v>4045</v>
      </c>
      <c r="R26" s="57" t="s">
        <v>3780</v>
      </c>
      <c r="S26" s="58" t="s">
        <v>4052</v>
      </c>
    </row>
    <row r="27" spans="3:19" x14ac:dyDescent="0.25">
      <c r="C27" s="62" t="s">
        <v>3891</v>
      </c>
      <c r="D27" s="63" t="s">
        <v>3892</v>
      </c>
      <c r="E27" s="65">
        <v>270000</v>
      </c>
      <c r="G27" t="s">
        <v>3891</v>
      </c>
      <c r="H27" t="s">
        <v>3892</v>
      </c>
      <c r="I27" s="13">
        <v>270000</v>
      </c>
      <c r="N27" s="57" t="s">
        <v>4038</v>
      </c>
      <c r="O27" s="57" t="s">
        <v>4037</v>
      </c>
      <c r="P27" s="57" t="s">
        <v>3993</v>
      </c>
      <c r="Q27" s="57" t="s">
        <v>4046</v>
      </c>
      <c r="R27" s="57" t="s">
        <v>3780</v>
      </c>
      <c r="S27" s="58" t="s">
        <v>4053</v>
      </c>
    </row>
    <row r="28" spans="3:19" x14ac:dyDescent="0.25">
      <c r="C28" s="62" t="s">
        <v>3899</v>
      </c>
      <c r="D28" s="63" t="s">
        <v>3900</v>
      </c>
      <c r="E28" s="65">
        <v>1200000</v>
      </c>
      <c r="G28" t="s">
        <v>3899</v>
      </c>
      <c r="H28" t="s">
        <v>3900</v>
      </c>
      <c r="I28" s="13">
        <v>1200000</v>
      </c>
      <c r="N28" t="s">
        <v>4</v>
      </c>
      <c r="O28">
        <f>SUBTOTAL(103,tbl_cociliacion_bancaria_1[nombresTablas])</f>
        <v>16</v>
      </c>
      <c r="S28" s="4">
        <f>SUBTOTAL(109,tbl_cociliacion_bancaria_1[Titulos tablas])</f>
        <v>0</v>
      </c>
    </row>
    <row r="29" spans="3:19" x14ac:dyDescent="0.25">
      <c r="C29" s="62" t="s">
        <v>4</v>
      </c>
      <c r="D29" s="63"/>
      <c r="E29" s="64">
        <f>SUBTOTAL(109,tbl_conciliacion_bancaria_3[Valor])</f>
        <v>2700000</v>
      </c>
      <c r="G29" t="s">
        <v>4</v>
      </c>
      <c r="I29" s="4">
        <f>SUBTOTAL(109,tbl_conciliacion_bancaria_11[Valor])</f>
        <v>2700000</v>
      </c>
    </row>
    <row r="32" spans="3:19" x14ac:dyDescent="0.25">
      <c r="C32" s="92" t="s">
        <v>4024</v>
      </c>
      <c r="D32" s="92"/>
      <c r="E32" s="92"/>
      <c r="G32" s="92" t="s">
        <v>4062</v>
      </c>
      <c r="H32" s="92"/>
      <c r="I32" s="92"/>
    </row>
    <row r="33" spans="3:9" x14ac:dyDescent="0.25">
      <c r="C33" t="s">
        <v>3819</v>
      </c>
      <c r="D33" t="s">
        <v>3820</v>
      </c>
      <c r="E33" s="4" t="s">
        <v>3780</v>
      </c>
      <c r="G33" t="s">
        <v>3819</v>
      </c>
      <c r="H33" t="s">
        <v>3820</v>
      </c>
      <c r="I33" s="4" t="s">
        <v>3780</v>
      </c>
    </row>
    <row r="34" spans="3:9" x14ac:dyDescent="0.25">
      <c r="C34" s="47" t="s">
        <v>3843</v>
      </c>
      <c r="D34" s="48" t="s">
        <v>4013</v>
      </c>
      <c r="E34" s="59">
        <v>0.31</v>
      </c>
      <c r="G34" t="s">
        <v>3843</v>
      </c>
      <c r="H34" t="s">
        <v>4013</v>
      </c>
      <c r="I34" s="13">
        <v>0.31</v>
      </c>
    </row>
    <row r="35" spans="3:9" x14ac:dyDescent="0.25">
      <c r="C35" s="47" t="s">
        <v>3843</v>
      </c>
      <c r="D35" s="48" t="s">
        <v>4013</v>
      </c>
      <c r="E35" s="59">
        <v>0.1</v>
      </c>
      <c r="G35" t="s">
        <v>3843</v>
      </c>
      <c r="H35" t="s">
        <v>4013</v>
      </c>
      <c r="I35" s="13">
        <v>0.1</v>
      </c>
    </row>
    <row r="36" spans="3:9" x14ac:dyDescent="0.25">
      <c r="C36" s="47" t="s">
        <v>3844</v>
      </c>
      <c r="D36" s="48" t="s">
        <v>4019</v>
      </c>
      <c r="E36" s="59">
        <v>28000</v>
      </c>
      <c r="G36" t="s">
        <v>3844</v>
      </c>
      <c r="H36" t="s">
        <v>4019</v>
      </c>
      <c r="I36" s="13">
        <v>28000</v>
      </c>
    </row>
    <row r="37" spans="3:9" x14ac:dyDescent="0.25">
      <c r="C37" s="47" t="s">
        <v>3843</v>
      </c>
      <c r="D37" s="48" t="s">
        <v>4013</v>
      </c>
      <c r="E37" s="59">
        <v>0.15</v>
      </c>
      <c r="G37" t="s">
        <v>3843</v>
      </c>
      <c r="H37" t="s">
        <v>4013</v>
      </c>
      <c r="I37" s="13">
        <v>0.15</v>
      </c>
    </row>
    <row r="38" spans="3:9" x14ac:dyDescent="0.25">
      <c r="C38" s="47" t="s">
        <v>3843</v>
      </c>
      <c r="D38" s="48" t="s">
        <v>4013</v>
      </c>
      <c r="E38" s="59">
        <v>0.32</v>
      </c>
      <c r="G38" t="s">
        <v>3843</v>
      </c>
      <c r="H38" t="s">
        <v>4013</v>
      </c>
      <c r="I38" s="13">
        <v>0.32</v>
      </c>
    </row>
    <row r="39" spans="3:9" x14ac:dyDescent="0.25">
      <c r="C39" s="47" t="s">
        <v>3843</v>
      </c>
      <c r="D39" s="48" t="s">
        <v>4013</v>
      </c>
      <c r="E39" s="59">
        <v>0.08</v>
      </c>
      <c r="G39" t="s">
        <v>3843</v>
      </c>
      <c r="H39" t="s">
        <v>4013</v>
      </c>
      <c r="I39" s="13">
        <v>0.08</v>
      </c>
    </row>
    <row r="40" spans="3:9" x14ac:dyDescent="0.25">
      <c r="C40" s="47" t="s">
        <v>3843</v>
      </c>
      <c r="D40" s="48" t="s">
        <v>4013</v>
      </c>
      <c r="E40" s="59">
        <v>0.14000000000000001</v>
      </c>
      <c r="G40" t="s">
        <v>3843</v>
      </c>
      <c r="H40" t="s">
        <v>4013</v>
      </c>
      <c r="I40" s="13">
        <v>0.14000000000000001</v>
      </c>
    </row>
    <row r="41" spans="3:9" x14ac:dyDescent="0.25">
      <c r="C41" s="47" t="s">
        <v>3872</v>
      </c>
      <c r="D41" s="48" t="s">
        <v>3908</v>
      </c>
      <c r="E41" s="59">
        <v>1800000</v>
      </c>
      <c r="G41" t="s">
        <v>3872</v>
      </c>
      <c r="H41" t="s">
        <v>3908</v>
      </c>
      <c r="I41" s="13">
        <v>1800000</v>
      </c>
    </row>
    <row r="42" spans="3:9" x14ac:dyDescent="0.25">
      <c r="C42" s="47" t="s">
        <v>3909</v>
      </c>
      <c r="D42" s="48" t="s">
        <v>3910</v>
      </c>
      <c r="E42" s="59">
        <v>2000000</v>
      </c>
      <c r="G42" t="s">
        <v>3909</v>
      </c>
      <c r="H42" t="s">
        <v>3910</v>
      </c>
      <c r="I42" s="13">
        <v>2000000</v>
      </c>
    </row>
    <row r="43" spans="3:9" x14ac:dyDescent="0.25">
      <c r="C43" s="47" t="s">
        <v>4</v>
      </c>
      <c r="D43" s="48"/>
      <c r="E43" s="49">
        <f>SUBTOTAL(109,tbl_conciliacion_bancaria_4[Valor])</f>
        <v>3828001.1</v>
      </c>
      <c r="G43" t="s">
        <v>4</v>
      </c>
      <c r="I43" s="4">
        <f>SUBTOTAL(109,tbl_conciliacion_bancaria_12[Valor])</f>
        <v>3828001.1</v>
      </c>
    </row>
    <row r="46" spans="3:9" x14ac:dyDescent="0.25">
      <c r="C46" s="91" t="s">
        <v>4025</v>
      </c>
      <c r="D46" s="91"/>
      <c r="E46" s="91"/>
      <c r="G46" s="91" t="s">
        <v>4057</v>
      </c>
      <c r="H46" s="91"/>
      <c r="I46" s="91"/>
    </row>
    <row r="47" spans="3:9" x14ac:dyDescent="0.25">
      <c r="C47" t="s">
        <v>3819</v>
      </c>
      <c r="D47" t="s">
        <v>3820</v>
      </c>
      <c r="E47" s="4" t="s">
        <v>3780</v>
      </c>
      <c r="G47" t="s">
        <v>3819</v>
      </c>
      <c r="H47" t="s">
        <v>3820</v>
      </c>
      <c r="I47" s="4" t="s">
        <v>3780</v>
      </c>
    </row>
    <row r="48" spans="3:9" x14ac:dyDescent="0.25">
      <c r="C48" s="60" t="s">
        <v>3887</v>
      </c>
      <c r="D48" s="61" t="s">
        <v>3888</v>
      </c>
      <c r="E48" s="65">
        <v>2300000</v>
      </c>
      <c r="G48" t="s">
        <v>3887</v>
      </c>
      <c r="H48" t="s">
        <v>3888</v>
      </c>
      <c r="I48" s="13">
        <v>2300000</v>
      </c>
    </row>
    <row r="49" spans="3:9" x14ac:dyDescent="0.25">
      <c r="C49" s="60" t="s">
        <v>4</v>
      </c>
      <c r="D49" s="61"/>
      <c r="E49" s="64">
        <f>SUBTOTAL(109,tbl_conciliacion_bancaria_5[Valor])</f>
        <v>2300000</v>
      </c>
      <c r="G49" t="s">
        <v>4</v>
      </c>
      <c r="I49" s="4">
        <f>SUBTOTAL(109,tbl_conciliacion_bancaria_13[Valor])</f>
        <v>2300000</v>
      </c>
    </row>
    <row r="52" spans="3:9" x14ac:dyDescent="0.25">
      <c r="C52" s="92" t="s">
        <v>4026</v>
      </c>
      <c r="D52" s="92"/>
      <c r="E52" s="92"/>
      <c r="G52" s="92" t="s">
        <v>4058</v>
      </c>
      <c r="H52" s="92"/>
      <c r="I52" s="92"/>
    </row>
    <row r="53" spans="3:9" x14ac:dyDescent="0.25">
      <c r="C53" t="s">
        <v>3819</v>
      </c>
      <c r="D53" t="s">
        <v>3820</v>
      </c>
      <c r="E53" s="4" t="s">
        <v>3780</v>
      </c>
      <c r="G53" t="s">
        <v>3819</v>
      </c>
      <c r="H53" t="s">
        <v>3820</v>
      </c>
      <c r="I53" s="4" t="s">
        <v>3780</v>
      </c>
    </row>
    <row r="54" spans="3:9" x14ac:dyDescent="0.25">
      <c r="C54" s="48" t="s">
        <v>3857</v>
      </c>
      <c r="D54" s="48" t="s">
        <v>3858</v>
      </c>
      <c r="E54" s="49">
        <v>500000</v>
      </c>
      <c r="G54" t="s">
        <v>3857</v>
      </c>
      <c r="H54" t="s">
        <v>3858</v>
      </c>
      <c r="I54" s="4">
        <v>500000</v>
      </c>
    </row>
    <row r="55" spans="3:9" x14ac:dyDescent="0.25">
      <c r="C55" s="48" t="s">
        <v>4</v>
      </c>
      <c r="D55" s="48"/>
      <c r="E55" s="49">
        <f>SUBTOTAL(109,tbl_conciliacion_bancaria_6[Valor])</f>
        <v>500000</v>
      </c>
      <c r="G55" t="s">
        <v>4</v>
      </c>
      <c r="I55" s="4">
        <f>SUBTOTAL(109,tbl_conciliacion_bancaria_14[Valor])</f>
        <v>500000</v>
      </c>
    </row>
    <row r="58" spans="3:9" x14ac:dyDescent="0.25">
      <c r="C58" s="91" t="s">
        <v>4027</v>
      </c>
      <c r="D58" s="91"/>
      <c r="E58" s="91"/>
      <c r="G58" s="91" t="s">
        <v>4059</v>
      </c>
      <c r="H58" s="91"/>
      <c r="I58" s="91"/>
    </row>
    <row r="59" spans="3:9" x14ac:dyDescent="0.25">
      <c r="C59" t="s">
        <v>3819</v>
      </c>
      <c r="D59" t="s">
        <v>3820</v>
      </c>
      <c r="E59" s="4" t="s">
        <v>3780</v>
      </c>
      <c r="G59" t="s">
        <v>3819</v>
      </c>
      <c r="H59" t="s">
        <v>3820</v>
      </c>
      <c r="I59" s="4" t="s">
        <v>3780</v>
      </c>
    </row>
    <row r="60" spans="3:9" x14ac:dyDescent="0.25">
      <c r="C60" s="48" t="s">
        <v>3865</v>
      </c>
      <c r="D60" s="48" t="s">
        <v>3866</v>
      </c>
      <c r="E60" s="49">
        <v>100000</v>
      </c>
      <c r="G60" t="s">
        <v>3865</v>
      </c>
      <c r="H60" t="s">
        <v>3866</v>
      </c>
      <c r="I60" s="4">
        <v>100000</v>
      </c>
    </row>
    <row r="61" spans="3:9" x14ac:dyDescent="0.25">
      <c r="C61" s="48" t="s">
        <v>4</v>
      </c>
      <c r="D61" s="48"/>
      <c r="E61" s="49">
        <f>SUBTOTAL(109,tbl_conciliacion_bancaria_7[Valor])</f>
        <v>100000</v>
      </c>
      <c r="G61" t="s">
        <v>4</v>
      </c>
      <c r="I61" s="4">
        <f>SUBTOTAL(109,tbl_conciliacion_bancaria_15[Valor])</f>
        <v>100000</v>
      </c>
    </row>
    <row r="64" spans="3:9" x14ac:dyDescent="0.25">
      <c r="C64" s="92" t="s">
        <v>4028</v>
      </c>
      <c r="D64" s="92"/>
      <c r="E64" s="92"/>
      <c r="G64" s="92" t="s">
        <v>4060</v>
      </c>
      <c r="H64" s="92"/>
      <c r="I64" s="92"/>
    </row>
    <row r="65" spans="3:9" x14ac:dyDescent="0.25">
      <c r="C65" t="s">
        <v>3819</v>
      </c>
      <c r="D65" t="s">
        <v>3820</v>
      </c>
      <c r="E65" s="4" t="s">
        <v>3780</v>
      </c>
      <c r="G65" t="s">
        <v>3819</v>
      </c>
      <c r="H65" t="s">
        <v>3820</v>
      </c>
      <c r="I65" s="4" t="s">
        <v>3780</v>
      </c>
    </row>
    <row r="66" spans="3:9" x14ac:dyDescent="0.25">
      <c r="C66" s="48" t="s">
        <v>3872</v>
      </c>
      <c r="D66" s="48" t="s">
        <v>3873</v>
      </c>
      <c r="E66" s="49">
        <v>30000</v>
      </c>
      <c r="G66" t="s">
        <v>3872</v>
      </c>
      <c r="H66" t="s">
        <v>3873</v>
      </c>
      <c r="I66" s="4">
        <v>30000</v>
      </c>
    </row>
    <row r="67" spans="3:9" x14ac:dyDescent="0.25">
      <c r="C67" s="48" t="s">
        <v>4</v>
      </c>
      <c r="D67" s="48"/>
      <c r="E67" s="49">
        <f>SUBTOTAL(109,tbl_conciliacion_bancaria_8[Valor])</f>
        <v>30000</v>
      </c>
      <c r="G67" t="s">
        <v>4</v>
      </c>
      <c r="I67" s="4">
        <f>SUBTOTAL(109,tbl_conciliacion_bancaria_16[Valor])</f>
        <v>30000</v>
      </c>
    </row>
    <row r="70" spans="3:9" x14ac:dyDescent="0.25">
      <c r="C70" s="91" t="s">
        <v>4029</v>
      </c>
      <c r="D70" s="91"/>
      <c r="E70" s="91"/>
      <c r="G70" s="91" t="s">
        <v>4061</v>
      </c>
      <c r="H70" s="91"/>
      <c r="I70" s="91"/>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3" t="s">
        <v>4012</v>
      </c>
      <c r="D74" s="93"/>
      <c r="E74" s="56">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3" t="s">
        <v>4054</v>
      </c>
      <c r="H74" s="93"/>
      <c r="I74" s="56">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 ref="G46:I46"/>
    <mergeCell ref="G52:I52"/>
    <mergeCell ref="C6:D6"/>
    <mergeCell ref="E6:G6"/>
    <mergeCell ref="C7:D7"/>
    <mergeCell ref="E7:G7"/>
    <mergeCell ref="G64:I64"/>
    <mergeCell ref="G70:I70"/>
    <mergeCell ref="C4:D4"/>
    <mergeCell ref="E4:G4"/>
    <mergeCell ref="C5:D5"/>
    <mergeCell ref="E5:G5"/>
    <mergeCell ref="C1:G1"/>
    <mergeCell ref="C2:D2"/>
    <mergeCell ref="E2:G2"/>
    <mergeCell ref="C3:D3"/>
    <mergeCell ref="E3:G3"/>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D18" sqref="D1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3946</v>
      </c>
      <c r="S14" t="s">
        <v>3947</v>
      </c>
      <c r="T14" t="s">
        <v>3948</v>
      </c>
      <c r="U14" t="s">
        <v>3949</v>
      </c>
      <c r="V14" t="s">
        <v>3950</v>
      </c>
      <c r="W14" s="39" t="s">
        <v>3951</v>
      </c>
    </row>
    <row r="15" spans="2:23" x14ac:dyDescent="0.25">
      <c r="B15">
        <v>5194</v>
      </c>
      <c r="C15" t="s">
        <v>3841</v>
      </c>
      <c r="D15" s="39"/>
      <c r="E15" s="39"/>
      <c r="S15" t="s">
        <v>3969</v>
      </c>
      <c r="T15" s="42" t="s">
        <v>3972</v>
      </c>
      <c r="U15" t="s">
        <v>3970</v>
      </c>
      <c r="V15" t="s">
        <v>3974</v>
      </c>
      <c r="W15" s="24" t="s">
        <v>3971</v>
      </c>
    </row>
    <row r="16" spans="2:23" x14ac:dyDescent="0.25">
      <c r="B16">
        <v>1345</v>
      </c>
      <c r="C16" t="s">
        <v>350</v>
      </c>
      <c r="D16" s="39"/>
      <c r="E16" s="39"/>
      <c r="S16" t="s">
        <v>3979</v>
      </c>
      <c r="T16" s="42" t="s">
        <v>3972</v>
      </c>
      <c r="U16" t="s">
        <v>3973</v>
      </c>
      <c r="V16" t="s">
        <v>3974</v>
      </c>
      <c r="W16" s="24" t="s">
        <v>3975</v>
      </c>
    </row>
    <row r="17" spans="2:23" x14ac:dyDescent="0.25">
      <c r="B17">
        <v>1295</v>
      </c>
      <c r="C17" t="s">
        <v>222</v>
      </c>
      <c r="D17" s="39"/>
      <c r="E17" s="39"/>
      <c r="S17" t="s">
        <v>3978</v>
      </c>
      <c r="T17" s="42" t="s">
        <v>3972</v>
      </c>
      <c r="U17" t="s">
        <v>3977</v>
      </c>
      <c r="V17" t="s">
        <v>3974</v>
      </c>
      <c r="W17" s="24" t="s">
        <v>3976</v>
      </c>
    </row>
    <row r="18" spans="2:23" x14ac:dyDescent="0.25">
      <c r="B18" t="s">
        <v>4</v>
      </c>
      <c r="D18" s="39">
        <f>SUBTOTAL(109,tbl_libro_instrumentos_financieros_116[Debe])</f>
        <v>0</v>
      </c>
      <c r="E18" s="39">
        <f>SUBTOTAL(109,tbl_libro_instrumentos_financieros_116[Haber])</f>
        <v>0</v>
      </c>
      <c r="S18" t="s">
        <v>3980</v>
      </c>
      <c r="T18" s="42" t="s">
        <v>3972</v>
      </c>
      <c r="U18" t="s">
        <v>3982</v>
      </c>
      <c r="V18" t="s">
        <v>3974</v>
      </c>
      <c r="W18" s="24" t="s">
        <v>3981</v>
      </c>
    </row>
    <row r="19" spans="2:23" x14ac:dyDescent="0.25">
      <c r="S19" t="s">
        <v>3983</v>
      </c>
      <c r="T19" s="42" t="s">
        <v>3972</v>
      </c>
      <c r="U19" t="s">
        <v>3985</v>
      </c>
      <c r="V19" t="s">
        <v>3974</v>
      </c>
      <c r="W19" s="24" t="s">
        <v>3984</v>
      </c>
    </row>
    <row r="20" spans="2:23" x14ac:dyDescent="0.25">
      <c r="C20" s="4"/>
      <c r="R20" t="s">
        <v>4</v>
      </c>
      <c r="W20" s="24">
        <f>SUBTOTAL(103,tbl_libro_instrumentos_financieros_tablas[Titulos tablas])</f>
        <v>5</v>
      </c>
    </row>
    <row r="21" spans="2:23" x14ac:dyDescent="0.25">
      <c r="C21" s="4"/>
    </row>
    <row r="22" spans="2:23" x14ac:dyDescent="0.25">
      <c r="C22" s="4"/>
      <c r="S22" t="s">
        <v>3716</v>
      </c>
      <c r="T22" t="s">
        <v>0</v>
      </c>
      <c r="U22" s="4" t="s">
        <v>2</v>
      </c>
      <c r="V22" s="4" t="s">
        <v>3</v>
      </c>
    </row>
    <row r="23" spans="2:23" x14ac:dyDescent="0.25">
      <c r="U23" s="4"/>
      <c r="V23" s="4"/>
    </row>
    <row r="24" spans="2:23" x14ac:dyDescent="0.25">
      <c r="S24" t="s">
        <v>4</v>
      </c>
      <c r="U24" s="4">
        <f>SUBTOTAL(109,tbl_instrumentos_financieros_10[Debe])</f>
        <v>0</v>
      </c>
      <c r="V24" s="4">
        <f>SUBTOTAL(109,tbl_instrumentos_financieros_10[Haber])</f>
        <v>0</v>
      </c>
    </row>
    <row r="25" spans="2:23" x14ac:dyDescent="0.25">
      <c r="U25" s="4"/>
      <c r="V25" s="4"/>
    </row>
    <row r="27" spans="2:23" x14ac:dyDescent="0.25">
      <c r="S27" t="s">
        <v>3716</v>
      </c>
      <c r="T27" t="s">
        <v>0</v>
      </c>
      <c r="U27" s="4" t="s">
        <v>2</v>
      </c>
      <c r="V27" s="4" t="s">
        <v>3</v>
      </c>
    </row>
    <row r="28" spans="2:23" x14ac:dyDescent="0.25">
      <c r="S28" t="s">
        <v>3986</v>
      </c>
      <c r="U28" s="4"/>
      <c r="V28" s="4"/>
    </row>
    <row r="29" spans="2:23" x14ac:dyDescent="0.25">
      <c r="S29" t="s">
        <v>4</v>
      </c>
      <c r="U29" s="4">
        <f>SUBTOTAL(109,tbl_instrymentos_financieros_111[Debe])</f>
        <v>0</v>
      </c>
      <c r="V29" s="4">
        <f>SUBTOTAL(109,tbl_instrymentos_financieros_111[Haber])</f>
        <v>0</v>
      </c>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U35" s="4"/>
      <c r="V35" s="4"/>
    </row>
    <row r="36" spans="19:22" x14ac:dyDescent="0.25">
      <c r="S36" t="s">
        <v>3716</v>
      </c>
      <c r="T36" t="s">
        <v>0</v>
      </c>
      <c r="U36" s="4" t="s">
        <v>2</v>
      </c>
      <c r="V36" s="4" t="s">
        <v>3</v>
      </c>
    </row>
    <row r="37" spans="19:22" x14ac:dyDescent="0.25">
      <c r="S37" t="s">
        <v>3987</v>
      </c>
      <c r="U37" s="4"/>
      <c r="V37" s="4"/>
    </row>
    <row r="38" spans="19:22" x14ac:dyDescent="0.25">
      <c r="S38" t="s">
        <v>4</v>
      </c>
      <c r="U38" s="4">
        <f>SUBTOTAL(109,tbl_instrymentos_financieros_122[Debe])</f>
        <v>0</v>
      </c>
      <c r="V38" s="4">
        <f>SUBTOTAL(109,tbl_instrymentos_financieros_122[Haber])</f>
        <v>0</v>
      </c>
    </row>
    <row r="39" spans="19:22" x14ac:dyDescent="0.25">
      <c r="U39" s="4"/>
      <c r="V39" s="4"/>
    </row>
    <row r="40" spans="19:22" x14ac:dyDescent="0.25">
      <c r="U40" s="4"/>
      <c r="V40" s="4"/>
    </row>
    <row r="41" spans="19:22" x14ac:dyDescent="0.25">
      <c r="S41" t="s">
        <v>3716</v>
      </c>
      <c r="T41" t="s">
        <v>0</v>
      </c>
      <c r="U41" s="4" t="s">
        <v>2</v>
      </c>
      <c r="V41" s="4" t="s">
        <v>3</v>
      </c>
    </row>
    <row r="42" spans="19:22" x14ac:dyDescent="0.25">
      <c r="S42" t="s">
        <v>3988</v>
      </c>
      <c r="U42" s="4"/>
      <c r="V42" s="4"/>
    </row>
    <row r="43" spans="19:22" x14ac:dyDescent="0.25">
      <c r="S43" t="s">
        <v>4</v>
      </c>
      <c r="U43" s="4">
        <f>SUBTOTAL(109,tbl_instrymentos_financieros_123[Debe])</f>
        <v>0</v>
      </c>
      <c r="V43" s="4">
        <f>SUBTOTAL(109,tbl_instrymentos_financieros_123[Haber])</f>
        <v>0</v>
      </c>
    </row>
    <row r="44" spans="19:22" x14ac:dyDescent="0.25">
      <c r="U44" s="4"/>
      <c r="V44" s="4"/>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48" spans="19:22" x14ac:dyDescent="0.25">
      <c r="U48" s="4"/>
      <c r="V48" s="4"/>
    </row>
    <row r="51" spans="2:22" x14ac:dyDescent="0.25">
      <c r="U51" s="4"/>
      <c r="V51" s="4"/>
    </row>
    <row r="52" spans="2:22" x14ac:dyDescent="0.25">
      <c r="U52" s="4"/>
      <c r="V52" s="4"/>
    </row>
    <row r="53" spans="2:22" x14ac:dyDescent="0.25">
      <c r="U53" s="4"/>
      <c r="V53" s="4"/>
    </row>
    <row r="58" spans="2:22" x14ac:dyDescent="0.25">
      <c r="B58" t="s">
        <v>3915</v>
      </c>
    </row>
    <row r="59" spans="2:22" x14ac:dyDescent="0.25">
      <c r="B59" t="s">
        <v>3839</v>
      </c>
      <c r="C59" t="s">
        <v>0</v>
      </c>
      <c r="D59" s="4" t="s">
        <v>2</v>
      </c>
      <c r="E59" s="4" t="s">
        <v>3</v>
      </c>
    </row>
    <row r="60" spans="2:22" x14ac:dyDescent="0.25">
      <c r="B60">
        <v>1295</v>
      </c>
      <c r="C60" t="s">
        <v>3919</v>
      </c>
      <c r="D60" s="4">
        <v>10000000</v>
      </c>
      <c r="E60" s="4"/>
    </row>
    <row r="61" spans="2:22" x14ac:dyDescent="0.25">
      <c r="B61">
        <v>1110</v>
      </c>
      <c r="C61" t="s">
        <v>3920</v>
      </c>
      <c r="D61" s="4"/>
      <c r="E61" s="4">
        <v>10000000</v>
      </c>
    </row>
    <row r="62" spans="2:22" x14ac:dyDescent="0.25">
      <c r="B62" t="s">
        <v>4</v>
      </c>
      <c r="D62" s="4">
        <f>SUBTOTAL(109,tbl_instrumentos_financieros_1[Debe])</f>
        <v>10000000</v>
      </c>
      <c r="E62" s="4">
        <f>SUBTOTAL(109,tbl_instrumentos_financieros_1[Haber])</f>
        <v>10000000</v>
      </c>
    </row>
    <row r="72" spans="2:6" x14ac:dyDescent="0.25">
      <c r="B72" t="s">
        <v>3921</v>
      </c>
      <c r="C72">
        <v>10000000</v>
      </c>
    </row>
    <row r="73" spans="2:6" x14ac:dyDescent="0.25">
      <c r="B73" t="s">
        <v>3922</v>
      </c>
      <c r="C73" s="40">
        <v>0.12</v>
      </c>
    </row>
    <row r="76" spans="2:6" x14ac:dyDescent="0.25">
      <c r="B76" t="s">
        <v>3923</v>
      </c>
    </row>
    <row r="77" spans="2:6" x14ac:dyDescent="0.25">
      <c r="B77" t="s">
        <v>3924</v>
      </c>
      <c r="C77" s="39" t="s">
        <v>3925</v>
      </c>
      <c r="D77" s="39" t="s">
        <v>3926</v>
      </c>
      <c r="E77" s="39" t="s">
        <v>3927</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3928</v>
      </c>
      <c r="D88" t="s">
        <v>3931</v>
      </c>
      <c r="E88" t="s">
        <v>3932</v>
      </c>
      <c r="F88" t="s">
        <v>3933</v>
      </c>
      <c r="G88" t="s">
        <v>3934</v>
      </c>
    </row>
    <row r="89" spans="2:7" x14ac:dyDescent="0.25">
      <c r="B89" t="s">
        <v>3926</v>
      </c>
      <c r="C89">
        <v>1200000</v>
      </c>
      <c r="D89">
        <v>960000</v>
      </c>
      <c r="E89">
        <v>720000</v>
      </c>
      <c r="F89">
        <v>480000</v>
      </c>
      <c r="G89">
        <v>240000</v>
      </c>
    </row>
    <row r="90" spans="2:7" x14ac:dyDescent="0.25">
      <c r="B90" t="s">
        <v>3929</v>
      </c>
      <c r="C90">
        <v>12</v>
      </c>
    </row>
    <row r="91" spans="2:7" x14ac:dyDescent="0.25">
      <c r="B91" t="s">
        <v>3930</v>
      </c>
      <c r="C91">
        <f>C89/$C$90</f>
        <v>100000</v>
      </c>
      <c r="D91">
        <f>D89/$C$90</f>
        <v>80000</v>
      </c>
      <c r="E91">
        <f>E89/$C$90</f>
        <v>60000</v>
      </c>
      <c r="F91">
        <f>F89/$C$90</f>
        <v>40000</v>
      </c>
      <c r="G91">
        <f>G89/$C$90</f>
        <v>20000</v>
      </c>
    </row>
    <row r="96" spans="2:7" x14ac:dyDescent="0.25">
      <c r="B96" t="s">
        <v>3916</v>
      </c>
    </row>
    <row r="97" spans="2:5" x14ac:dyDescent="0.25">
      <c r="B97" t="s">
        <v>3839</v>
      </c>
      <c r="C97" t="s">
        <v>0</v>
      </c>
      <c r="D97" s="4" t="s">
        <v>2</v>
      </c>
      <c r="E97" s="4" t="s">
        <v>3</v>
      </c>
    </row>
    <row r="98" spans="2:5" x14ac:dyDescent="0.25">
      <c r="B98">
        <v>1345</v>
      </c>
      <c r="C98" t="s">
        <v>3935</v>
      </c>
      <c r="D98" s="4">
        <v>100000</v>
      </c>
      <c r="E98" s="4"/>
    </row>
    <row r="99" spans="2:5" x14ac:dyDescent="0.25">
      <c r="B99">
        <v>4210</v>
      </c>
      <c r="C99" t="s">
        <v>3936</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3917</v>
      </c>
    </row>
    <row r="117" spans="2:5" x14ac:dyDescent="0.25">
      <c r="B117" t="s">
        <v>3839</v>
      </c>
      <c r="C117" t="s">
        <v>0</v>
      </c>
      <c r="D117" s="4" t="s">
        <v>2</v>
      </c>
      <c r="E117" s="4" t="s">
        <v>3</v>
      </c>
    </row>
    <row r="118" spans="2:5" x14ac:dyDescent="0.25">
      <c r="B118">
        <v>1110</v>
      </c>
      <c r="C118" t="s">
        <v>3920</v>
      </c>
      <c r="D118" s="4">
        <v>3200000</v>
      </c>
      <c r="E118" s="4"/>
    </row>
    <row r="119" spans="2:5" x14ac:dyDescent="0.25">
      <c r="B119">
        <v>1295</v>
      </c>
      <c r="C119" t="s">
        <v>3937</v>
      </c>
      <c r="D119" s="4"/>
      <c r="E119" s="4">
        <v>2000000</v>
      </c>
    </row>
    <row r="120" spans="2:5" x14ac:dyDescent="0.25">
      <c r="B120">
        <v>1345</v>
      </c>
      <c r="C120" t="s">
        <v>3938</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3918</v>
      </c>
    </row>
    <row r="125" spans="2:5" x14ac:dyDescent="0.25">
      <c r="B125" t="s">
        <v>3839</v>
      </c>
      <c r="C125" t="s">
        <v>0</v>
      </c>
      <c r="D125" s="4" t="s">
        <v>2</v>
      </c>
      <c r="E125" s="4" t="s">
        <v>3</v>
      </c>
    </row>
    <row r="126" spans="2:5" x14ac:dyDescent="0.25">
      <c r="B126">
        <v>1110</v>
      </c>
      <c r="C126" t="s">
        <v>3920</v>
      </c>
      <c r="D126" s="4">
        <f>E127+E128</f>
        <v>2960000</v>
      </c>
      <c r="E126" s="4"/>
    </row>
    <row r="127" spans="2:5" x14ac:dyDescent="0.25">
      <c r="B127">
        <v>1295</v>
      </c>
      <c r="C127" t="s">
        <v>3937</v>
      </c>
      <c r="D127" s="4"/>
      <c r="E127" s="4">
        <v>2000000</v>
      </c>
    </row>
    <row r="128" spans="2:5" x14ac:dyDescent="0.25">
      <c r="B128">
        <v>1345</v>
      </c>
      <c r="C128" t="s">
        <v>3938</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3939</v>
      </c>
    </row>
    <row r="134" spans="2:5" x14ac:dyDescent="0.25">
      <c r="B134" t="s">
        <v>3839</v>
      </c>
      <c r="C134" t="s">
        <v>0</v>
      </c>
      <c r="D134" s="39" t="s">
        <v>2</v>
      </c>
      <c r="E134" s="39" t="s">
        <v>3</v>
      </c>
    </row>
    <row r="135" spans="2:5" x14ac:dyDescent="0.25">
      <c r="B135">
        <v>1110</v>
      </c>
      <c r="C135" t="s">
        <v>3920</v>
      </c>
      <c r="D135" s="4">
        <f t="shared" ref="D135" si="3">E136+E137</f>
        <v>2720000</v>
      </c>
      <c r="E135" s="4"/>
    </row>
    <row r="136" spans="2:5" x14ac:dyDescent="0.25">
      <c r="B136">
        <v>1295</v>
      </c>
      <c r="C136" t="s">
        <v>3937</v>
      </c>
      <c r="D136" s="4"/>
      <c r="E136" s="4">
        <v>2000000</v>
      </c>
    </row>
    <row r="137" spans="2:5" x14ac:dyDescent="0.25">
      <c r="B137">
        <v>1345</v>
      </c>
      <c r="C137" t="s">
        <v>3938</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3940</v>
      </c>
    </row>
    <row r="143" spans="2:5" x14ac:dyDescent="0.25">
      <c r="B143" t="s">
        <v>3839</v>
      </c>
      <c r="C143" t="s">
        <v>0</v>
      </c>
      <c r="D143" s="39" t="s">
        <v>2</v>
      </c>
      <c r="E143" s="39" t="s">
        <v>3</v>
      </c>
    </row>
    <row r="144" spans="2:5" x14ac:dyDescent="0.25">
      <c r="B144">
        <v>1110</v>
      </c>
      <c r="C144" t="s">
        <v>3920</v>
      </c>
      <c r="D144" s="4">
        <f t="shared" ref="D144" si="4">E145+E146</f>
        <v>2480000</v>
      </c>
      <c r="E144" s="4"/>
    </row>
    <row r="145" spans="2:5" x14ac:dyDescent="0.25">
      <c r="B145">
        <v>1295</v>
      </c>
      <c r="C145" t="s">
        <v>3937</v>
      </c>
      <c r="D145" s="4"/>
      <c r="E145" s="4">
        <v>2000000</v>
      </c>
    </row>
    <row r="146" spans="2:5" x14ac:dyDescent="0.25">
      <c r="B146">
        <v>1345</v>
      </c>
      <c r="C146" t="s">
        <v>3938</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3941</v>
      </c>
    </row>
    <row r="151" spans="2:5" x14ac:dyDescent="0.25">
      <c r="B151" t="s">
        <v>3839</v>
      </c>
      <c r="C151" t="s">
        <v>0</v>
      </c>
      <c r="D151" s="39" t="s">
        <v>2</v>
      </c>
      <c r="E151" s="39" t="s">
        <v>3</v>
      </c>
    </row>
    <row r="152" spans="2:5" x14ac:dyDescent="0.25">
      <c r="B152">
        <v>1110</v>
      </c>
      <c r="C152" t="s">
        <v>3920</v>
      </c>
      <c r="D152" s="4">
        <f t="shared" ref="D152" si="5">E153+E154</f>
        <v>2240000</v>
      </c>
      <c r="E152" s="4"/>
    </row>
    <row r="153" spans="2:5" x14ac:dyDescent="0.25">
      <c r="B153">
        <v>1295</v>
      </c>
      <c r="C153" t="s">
        <v>3937</v>
      </c>
      <c r="D153" s="4"/>
      <c r="E153" s="4">
        <v>2000000</v>
      </c>
    </row>
    <row r="154" spans="2:5" x14ac:dyDescent="0.25">
      <c r="B154">
        <v>1345</v>
      </c>
      <c r="C154" t="s">
        <v>3938</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3942</v>
      </c>
    </row>
    <row r="176" spans="1:4" x14ac:dyDescent="0.25">
      <c r="A176" t="s">
        <v>3839</v>
      </c>
      <c r="B176" t="s">
        <v>0</v>
      </c>
      <c r="C176" s="39" t="s">
        <v>2</v>
      </c>
      <c r="D176" s="39" t="s">
        <v>3</v>
      </c>
    </row>
    <row r="177" spans="1:5" x14ac:dyDescent="0.25">
      <c r="A177">
        <v>1235</v>
      </c>
      <c r="B177" t="s">
        <v>3952</v>
      </c>
      <c r="C177" s="39">
        <v>20000000</v>
      </c>
      <c r="D177" s="39"/>
    </row>
    <row r="178" spans="1:5" x14ac:dyDescent="0.25">
      <c r="A178">
        <v>1110</v>
      </c>
      <c r="B178" t="s">
        <v>3920</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3953</v>
      </c>
      <c r="B182" s="41">
        <v>20000000</v>
      </c>
    </row>
    <row r="183" spans="1:5" x14ac:dyDescent="0.25">
      <c r="A183" t="s">
        <v>3922</v>
      </c>
      <c r="B183" s="40">
        <v>0.12</v>
      </c>
    </row>
    <row r="184" spans="1:5" x14ac:dyDescent="0.25">
      <c r="A184" t="s">
        <v>3930</v>
      </c>
    </row>
    <row r="187" spans="1:5" x14ac:dyDescent="0.25">
      <c r="A187" t="s">
        <v>3954</v>
      </c>
    </row>
    <row r="188" spans="1:5" x14ac:dyDescent="0.25">
      <c r="A188" t="s">
        <v>3924</v>
      </c>
      <c r="B188" s="39" t="s">
        <v>3925</v>
      </c>
      <c r="C188" s="39" t="s">
        <v>3926</v>
      </c>
      <c r="D188" s="39" t="s">
        <v>3927</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3943</v>
      </c>
    </row>
    <row r="200" spans="1:5" x14ac:dyDescent="0.25">
      <c r="A200" t="s">
        <v>3839</v>
      </c>
      <c r="B200" t="s">
        <v>0</v>
      </c>
      <c r="C200" s="39" t="s">
        <v>2</v>
      </c>
      <c r="D200" s="39" t="s">
        <v>3</v>
      </c>
    </row>
    <row r="201" spans="1:5" x14ac:dyDescent="0.25">
      <c r="A201">
        <v>1345</v>
      </c>
      <c r="B201" t="s">
        <v>3955</v>
      </c>
      <c r="C201" s="39">
        <v>200000</v>
      </c>
      <c r="D201" s="39"/>
    </row>
    <row r="202" spans="1:5" x14ac:dyDescent="0.25">
      <c r="A202">
        <v>4210</v>
      </c>
      <c r="B202" t="s">
        <v>3956</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3944</v>
      </c>
    </row>
    <row r="220" spans="1:4" x14ac:dyDescent="0.25">
      <c r="A220" t="s">
        <v>3839</v>
      </c>
      <c r="B220" t="s">
        <v>0</v>
      </c>
      <c r="C220" s="39" t="s">
        <v>2</v>
      </c>
      <c r="D220" s="39" t="s">
        <v>3</v>
      </c>
    </row>
    <row r="221" spans="1:4" x14ac:dyDescent="0.25">
      <c r="A221">
        <v>1235</v>
      </c>
      <c r="B221" t="s">
        <v>3952</v>
      </c>
      <c r="C221" s="39">
        <v>1000000</v>
      </c>
      <c r="D221" s="39"/>
    </row>
    <row r="222" spans="1:4" x14ac:dyDescent="0.25">
      <c r="A222">
        <v>3805</v>
      </c>
      <c r="B222" t="s">
        <v>3957</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3945</v>
      </c>
    </row>
    <row r="234" spans="1:4" x14ac:dyDescent="0.25">
      <c r="A234" t="s">
        <v>3839</v>
      </c>
      <c r="B234" t="s">
        <v>0</v>
      </c>
      <c r="C234" s="39" t="s">
        <v>2</v>
      </c>
      <c r="D234" s="39" t="s">
        <v>3</v>
      </c>
    </row>
    <row r="235" spans="1:4" x14ac:dyDescent="0.25">
      <c r="A235">
        <v>1110</v>
      </c>
      <c r="B235" t="s">
        <v>3920</v>
      </c>
      <c r="C235" s="39">
        <v>6400000</v>
      </c>
      <c r="D235" s="39"/>
    </row>
    <row r="236" spans="1:4" x14ac:dyDescent="0.25">
      <c r="A236">
        <v>1235</v>
      </c>
      <c r="B236" t="s">
        <v>3952</v>
      </c>
      <c r="C236" s="39"/>
      <c r="D236" s="39">
        <v>4000000</v>
      </c>
    </row>
    <row r="237" spans="1:4" x14ac:dyDescent="0.25">
      <c r="A237">
        <v>1345</v>
      </c>
      <c r="B237" t="s">
        <v>3958</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3959</v>
      </c>
    </row>
    <row r="244" spans="1:4" x14ac:dyDescent="0.25">
      <c r="A244" t="s">
        <v>3839</v>
      </c>
      <c r="B244" t="s">
        <v>0</v>
      </c>
      <c r="C244" s="39" t="s">
        <v>2</v>
      </c>
      <c r="D244" s="39" t="s">
        <v>3</v>
      </c>
    </row>
    <row r="245" spans="1:4" x14ac:dyDescent="0.25">
      <c r="A245">
        <v>1110</v>
      </c>
      <c r="B245" t="s">
        <v>3920</v>
      </c>
      <c r="C245" s="39">
        <v>20000000</v>
      </c>
      <c r="D245" s="39"/>
    </row>
    <row r="246" spans="1:4" x14ac:dyDescent="0.25">
      <c r="A246">
        <v>3805</v>
      </c>
      <c r="B246" t="s">
        <v>3962</v>
      </c>
      <c r="C246" s="39">
        <v>1000000</v>
      </c>
      <c r="D246" s="39">
        <v>0</v>
      </c>
    </row>
    <row r="247" spans="1:4" x14ac:dyDescent="0.25">
      <c r="A247">
        <v>1235</v>
      </c>
      <c r="B247" t="s">
        <v>3952</v>
      </c>
      <c r="C247" s="39"/>
      <c r="D247" s="39">
        <v>16000000</v>
      </c>
    </row>
    <row r="248" spans="1:4" x14ac:dyDescent="0.25">
      <c r="A248">
        <v>4240</v>
      </c>
      <c r="B248" t="s">
        <v>3963</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3960</v>
      </c>
    </row>
    <row r="263" spans="1:4" x14ac:dyDescent="0.25">
      <c r="A263" t="s">
        <v>3839</v>
      </c>
      <c r="B263" t="s">
        <v>0</v>
      </c>
      <c r="C263" s="39" t="s">
        <v>2</v>
      </c>
      <c r="D263" s="39" t="s">
        <v>3</v>
      </c>
    </row>
    <row r="264" spans="1:4" x14ac:dyDescent="0.25">
      <c r="A264">
        <v>1205</v>
      </c>
      <c r="B264" t="s">
        <v>3964</v>
      </c>
      <c r="C264" s="39">
        <v>10000000</v>
      </c>
      <c r="D264" s="39"/>
    </row>
    <row r="265" spans="1:4" x14ac:dyDescent="0.25">
      <c r="A265">
        <v>5305</v>
      </c>
      <c r="B265" t="s">
        <v>3965</v>
      </c>
      <c r="C265" s="39">
        <v>300000</v>
      </c>
      <c r="D265" s="39">
        <v>0</v>
      </c>
    </row>
    <row r="266" spans="1:4" x14ac:dyDescent="0.25">
      <c r="A266">
        <v>1110</v>
      </c>
      <c r="B266" t="s">
        <v>3920</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3961</v>
      </c>
    </row>
    <row r="278" spans="1:4" x14ac:dyDescent="0.25">
      <c r="A278" t="s">
        <v>3839</v>
      </c>
      <c r="B278" t="s">
        <v>0</v>
      </c>
      <c r="C278" s="39" t="s">
        <v>2</v>
      </c>
      <c r="D278" s="39" t="s">
        <v>3</v>
      </c>
    </row>
    <row r="279" spans="1:4" x14ac:dyDescent="0.25">
      <c r="A279">
        <v>1205</v>
      </c>
      <c r="B279" t="s">
        <v>3964</v>
      </c>
      <c r="C279" s="39">
        <v>1000000</v>
      </c>
      <c r="D279" s="39"/>
    </row>
    <row r="280" spans="1:4" x14ac:dyDescent="0.25">
      <c r="A280">
        <v>3805</v>
      </c>
      <c r="B280" t="s">
        <v>3968</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3966</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3967</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64"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7</vt:i4>
      </vt:variant>
    </vt:vector>
  </HeadingPairs>
  <TitlesOfParts>
    <vt:vector size="21" baseType="lpstr">
      <vt:lpstr>Portada</vt:lpstr>
      <vt:lpstr>Factura</vt:lpstr>
      <vt:lpstr>Inventario</vt:lpstr>
      <vt:lpstr>apertura_caja_menor</vt:lpstr>
      <vt:lpstr>Hoja_trabajo</vt:lpstr>
      <vt:lpstr>Reconocimiento_reembolso_CM</vt:lpstr>
      <vt:lpstr>Reconocimientos_contables</vt:lpstr>
      <vt:lpstr>Libro Auxiliar Bancos</vt:lpstr>
      <vt:lpstr>tbl_extracto (2)</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2024-05-27T20:54:27Z</cp:lastPrinted>
  <dcterms:created xsi:type="dcterms:W3CDTF">2024-05-14T20:58:57Z</dcterms:created>
  <dcterms:modified xsi:type="dcterms:W3CDTF">2024-06-06T00:26:39Z</dcterms:modified>
</cp:coreProperties>
</file>